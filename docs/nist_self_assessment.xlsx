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X:\CSI\F24\COMP624 Sec. Compliance &amp; Incident Response\CAPSTONE\"/>
    </mc:Choice>
  </mc:AlternateContent>
  <xr:revisionPtr revIDLastSave="0" documentId="13_ncr:1_{3D6D96CF-06FC-42B0-B346-B7B98511E8DF}" xr6:coauthVersionLast="47" xr6:coauthVersionMax="47" xr10:uidLastSave="{00000000-0000-0000-0000-000000000000}"/>
  <bookViews>
    <workbookView xWindow="-120" yWindow="-120" windowWidth="29040" windowHeight="15720" tabRatio="598" activeTab="6" xr2:uid="{775C32B2-789F-42A5-9BC0-C48A56718020}"/>
  </bookViews>
  <sheets>
    <sheet name="INSTRUCTIONS" sheetId="11" r:id="rId1"/>
    <sheet name="ORGANIZATIONAL PROFILE" sheetId="12" r:id="rId2"/>
    <sheet name="PR.AT" sheetId="1" r:id="rId3"/>
    <sheet name="PR.AT SUMMARY" sheetId="2" r:id="rId4"/>
    <sheet name="ID.GV" sheetId="6" r:id="rId5"/>
    <sheet name="ID.GV SUMMARY" sheetId="10" r:id="rId6"/>
    <sheet name="PROFILE SUMMARY" sheetId="9" r:id="rId7"/>
    <sheet name="Dropdown"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9" l="1"/>
  <c r="B13" i="9"/>
  <c r="B14" i="9"/>
  <c r="D2" i="10"/>
  <c r="E2" i="10" s="1"/>
  <c r="C11" i="9" s="1"/>
  <c r="D5" i="10"/>
  <c r="E5" i="10" s="1"/>
  <c r="C14" i="9" s="1"/>
  <c r="D4" i="10"/>
  <c r="E4" i="10" s="1"/>
  <c r="C13" i="9" s="1"/>
  <c r="D3" i="10"/>
  <c r="E3" i="10" s="1"/>
  <c r="C12" i="9" s="1"/>
  <c r="D6" i="2"/>
  <c r="E6" i="2" s="1"/>
  <c r="C8" i="9" s="1"/>
  <c r="D5" i="2"/>
  <c r="E5" i="2" s="1"/>
  <c r="C7" i="9" s="1"/>
  <c r="D4" i="2"/>
  <c r="E4" i="2" s="1"/>
  <c r="C6" i="9" s="1"/>
  <c r="D3" i="2"/>
  <c r="E3" i="2" s="1"/>
  <c r="C5" i="9" s="1"/>
  <c r="D2" i="2"/>
  <c r="E2" i="2" s="1"/>
  <c r="C4" i="9" s="1"/>
  <c r="E17" i="6"/>
  <c r="E16" i="6"/>
  <c r="E15" i="6"/>
  <c r="E14" i="6"/>
  <c r="E13" i="6"/>
  <c r="E12" i="6"/>
  <c r="E11" i="6"/>
  <c r="E10" i="6"/>
  <c r="E9" i="6"/>
  <c r="E8" i="6"/>
  <c r="E7" i="6"/>
  <c r="E6" i="6"/>
  <c r="E5" i="6"/>
  <c r="E4" i="6"/>
  <c r="E3" i="6"/>
  <c r="E2" i="6"/>
  <c r="E11" i="1"/>
  <c r="E10" i="1"/>
  <c r="E9" i="1"/>
  <c r="E8" i="1"/>
  <c r="E7" i="1"/>
  <c r="E6" i="1"/>
  <c r="E5" i="1"/>
  <c r="E4" i="1"/>
  <c r="E3" i="1"/>
  <c r="E2" i="1"/>
  <c r="B8" i="9" l="1"/>
  <c r="B7" i="9"/>
  <c r="B6" i="9"/>
  <c r="B5" i="9"/>
  <c r="B11" i="9"/>
  <c r="B4" i="9"/>
</calcChain>
</file>

<file path=xl/sharedStrings.xml><?xml version="1.0" encoding="utf-8"?>
<sst xmlns="http://schemas.openxmlformats.org/spreadsheetml/2006/main" count="180" uniqueCount="138">
  <si>
    <t>Subcategory</t>
  </si>
  <si>
    <t>Objectives</t>
  </si>
  <si>
    <t>Category</t>
  </si>
  <si>
    <t>NIST Testing Steps</t>
  </si>
  <si>
    <t>Interview Score /100</t>
  </si>
  <si>
    <t>Score</t>
  </si>
  <si>
    <t>COBIT References</t>
  </si>
  <si>
    <t>Scoring Scale</t>
  </si>
  <si>
    <t>0. Not Implemented</t>
  </si>
  <si>
    <t>1. Partially Implemented</t>
  </si>
  <si>
    <t>2. Moderately Implemented</t>
  </si>
  <si>
    <t>3. Mostly Implemented</t>
  </si>
  <si>
    <t>4. Fully Implemented</t>
  </si>
  <si>
    <t>Question</t>
  </si>
  <si>
    <t>Answer Guidance.</t>
  </si>
  <si>
    <t>=IF(D3=0,"",IF(D3=1,"",IF(D3=2,"",IF(D3=3,"",IF(D3=4,"")))))</t>
  </si>
  <si>
    <t>Score Dropdown [0-4]</t>
  </si>
  <si>
    <r>
      <rPr>
        <b/>
        <sz val="11"/>
        <color theme="0"/>
        <rFont val="Calibri"/>
        <family val="2"/>
      </rPr>
      <t xml:space="preserve">Awareness and Training
(PR.AT): </t>
    </r>
    <r>
      <rPr>
        <sz val="11"/>
        <color theme="0"/>
        <rFont val="Calibri"/>
        <family val="2"/>
      </rPr>
      <t>The organization’s
personnel and partners are
provided cybersecurity awareness
education and are trained to
perform their cybersecurity-
related duties and responsibilities
consistent with related policies,
procedures, and agreements.</t>
    </r>
  </si>
  <si>
    <t>APO07.03, BAI05.07</t>
  </si>
  <si>
    <t>APO07.02, DSS05.04, DSS06.03</t>
  </si>
  <si>
    <t>APO07.03, APO07.06, APO10.04,
APO10.05</t>
  </si>
  <si>
    <t>EDM01.01, APO01.02, APO07.03</t>
  </si>
  <si>
    <t>APO07.03</t>
  </si>
  <si>
    <r>
      <t xml:space="preserve">PR.AT-1: </t>
    </r>
    <r>
      <rPr>
        <sz val="10"/>
        <color theme="1"/>
        <rFont val="Calibri"/>
        <family val="2"/>
      </rPr>
      <t>All users are informed and trained</t>
    </r>
  </si>
  <si>
    <r>
      <t xml:space="preserve">PR.AT-2: </t>
    </r>
    <r>
      <rPr>
        <sz val="10"/>
        <color theme="1"/>
        <rFont val="Calibri"/>
        <family val="2"/>
      </rPr>
      <t>Privileged users understand their roles and responsibilities</t>
    </r>
  </si>
  <si>
    <r>
      <t xml:space="preserve">PR.AT-3: </t>
    </r>
    <r>
      <rPr>
        <sz val="10"/>
        <color theme="1"/>
        <rFont val="Calibri"/>
        <family val="2"/>
      </rPr>
      <t>Third-party stakeholders (e.g., suppliers, customers, partners) understand their roles and responsibilities</t>
    </r>
  </si>
  <si>
    <r>
      <t xml:space="preserve">PR.AT-4: </t>
    </r>
    <r>
      <rPr>
        <sz val="10"/>
        <color theme="1"/>
        <rFont val="Calibri"/>
        <family val="2"/>
      </rPr>
      <t>Senior executives understand their roles and responsibilities</t>
    </r>
  </si>
  <si>
    <r>
      <t xml:space="preserve">PR.AT-5: </t>
    </r>
    <r>
      <rPr>
        <sz val="10"/>
        <color theme="1"/>
        <rFont val="Calibri"/>
        <family val="2"/>
      </rPr>
      <t>Physical and cybersecurity personnel understand their roles and responsibilities</t>
    </r>
  </si>
  <si>
    <t>Ensure that users are informed and trained</t>
  </si>
  <si>
    <t>Ensure that users with privilege over systems understand their roles and responsibilities</t>
  </si>
  <si>
    <t>Ensure that third-party stakeholders understand their roles and responsibilities</t>
  </si>
  <si>
    <t>Ensure that senior executives understand their roles and responsibilities</t>
  </si>
  <si>
    <t>Ensure that physical cybersecurity personnel understand their roles and responsibilities</t>
  </si>
  <si>
    <t>How effectiveley is cybersecurity training customized to address the specific needs and responsibilities of different employee roles?</t>
  </si>
  <si>
    <t>To what degree are employees assessed and confirmed to understand their cybersecurity responsibilities related to their roles?</t>
  </si>
  <si>
    <t>How regularly is the training program updated to incorporate the latest cybersecurity threats and best practices?</t>
  </si>
  <si>
    <r>
      <rPr>
        <b/>
        <sz val="11"/>
        <color theme="1"/>
        <rFont val="Calibri"/>
        <family val="2"/>
      </rPr>
      <t>PR.AT-3:</t>
    </r>
    <r>
      <rPr>
        <sz val="11"/>
        <color theme="1"/>
        <rFont val="Calibri"/>
        <family val="2"/>
      </rPr>
      <t xml:space="preserve"> Third-party stakeholders (e.g., suppliers, customers, partners) understand their roles and responsibilities</t>
    </r>
  </si>
  <si>
    <t>PR.AT-4: Senior executives understand their roles and responsibilities</t>
  </si>
  <si>
    <r>
      <rPr>
        <b/>
        <sz val="11"/>
        <color theme="1"/>
        <rFont val="Calibri"/>
        <family val="2"/>
      </rPr>
      <t>PR.AT-5:</t>
    </r>
    <r>
      <rPr>
        <sz val="11"/>
        <color theme="1"/>
        <rFont val="Calibri"/>
        <family val="2"/>
      </rPr>
      <t xml:space="preserve"> Physical and cybersecurity personnel understand their roles and responsibilities</t>
    </r>
  </si>
  <si>
    <r>
      <rPr>
        <b/>
        <sz val="11"/>
        <color theme="1"/>
        <rFont val="Calibri"/>
        <family val="2"/>
      </rPr>
      <t>PR.AT-1:</t>
    </r>
    <r>
      <rPr>
        <sz val="11"/>
        <color theme="1"/>
        <rFont val="Calibri"/>
        <family val="2"/>
      </rPr>
      <t xml:space="preserve"> All users are informed and trained</t>
    </r>
  </si>
  <si>
    <r>
      <rPr>
        <b/>
        <sz val="11"/>
        <color theme="1"/>
        <rFont val="Calibri"/>
        <family val="2"/>
      </rPr>
      <t>PR.AT-2:</t>
    </r>
    <r>
      <rPr>
        <sz val="11"/>
        <color theme="1"/>
        <rFont val="Calibri"/>
        <family val="2"/>
      </rPr>
      <t xml:space="preserve"> Privileged users understand their roles and responsibilities</t>
    </r>
  </si>
  <si>
    <t>How well are third-party vendors and partners informed about and compliant with your cybersecurity policies?</t>
  </si>
  <si>
    <t>How effectiveley are cybersecurity expectations communicated to third-party stakeholders?</t>
  </si>
  <si>
    <t>To what extent are senior executives actively informed and engaged in understanding cybersecurity risks?</t>
  </si>
  <si>
    <t>How effectively do senior executives support cybersecurity initiatives through decision-making and resource allocation?</t>
  </si>
  <si>
    <t>How are roles and responsibilities communicated and reinforced to physical and cybersecurity personell?</t>
  </si>
  <si>
    <t>What training and evaluation processes are in place to ensure personnel understand and can effectively perform their roles?</t>
  </si>
  <si>
    <r>
      <rPr>
        <b/>
        <sz val="11"/>
        <color theme="1"/>
        <rFont val="Calibri"/>
        <family val="2"/>
      </rPr>
      <t>ID.GV-1:</t>
    </r>
    <r>
      <rPr>
        <sz val="11"/>
        <color theme="1"/>
        <rFont val="Calibri"/>
        <family val="2"/>
      </rPr>
      <t xml:space="preserve"> Organizational cybersecurity policy is established and communicated</t>
    </r>
  </si>
  <si>
    <r>
      <rPr>
        <b/>
        <sz val="11"/>
        <color theme="1"/>
        <rFont val="Calibri"/>
        <family val="2"/>
      </rPr>
      <t>ID.GV-2</t>
    </r>
    <r>
      <rPr>
        <sz val="11"/>
        <color theme="1"/>
        <rFont val="Calibri"/>
        <family val="2"/>
      </rPr>
      <t>: Cybersecurity roles and responsibilities are coordinated and aligned with internal roles and external partners</t>
    </r>
  </si>
  <si>
    <r>
      <rPr>
        <b/>
        <sz val="11"/>
        <color theme="1"/>
        <rFont val="Calibri"/>
        <family val="2"/>
      </rPr>
      <t>ID.GV-3:</t>
    </r>
    <r>
      <rPr>
        <sz val="11"/>
        <color theme="1"/>
        <rFont val="Calibri"/>
        <family val="2"/>
      </rPr>
      <t xml:space="preserve"> Legal and regulatory requirements regarding cybersecurity, including privacy and civil liberties obligations, are understood and managed</t>
    </r>
  </si>
  <si>
    <r>
      <rPr>
        <b/>
        <sz val="11"/>
        <color theme="1"/>
        <rFont val="Calibri"/>
        <family val="2"/>
      </rPr>
      <t>ID.GV-4:</t>
    </r>
    <r>
      <rPr>
        <sz val="11"/>
        <color theme="1"/>
        <rFont val="Calibri"/>
        <family val="2"/>
      </rPr>
      <t xml:space="preserve"> Governance and risk management processes address cybersecurity risks</t>
    </r>
  </si>
  <si>
    <t>IDENTIFY - GOVERNANCE</t>
  </si>
  <si>
    <t>PROTECT - AWARENESS AND TRAINING</t>
  </si>
  <si>
    <t>CURRENT PROFILE SUMMARY:</t>
  </si>
  <si>
    <r>
      <t xml:space="preserve">ID.GV-1: </t>
    </r>
    <r>
      <rPr>
        <sz val="10"/>
        <color theme="1"/>
        <rFont val="Calibri"/>
        <family val="2"/>
      </rPr>
      <t>Organizational cybersecurity policy is established and communicated</t>
    </r>
  </si>
  <si>
    <r>
      <t xml:space="preserve">ID.GV-2: </t>
    </r>
    <r>
      <rPr>
        <sz val="10"/>
        <color theme="1"/>
        <rFont val="Calibri"/>
        <family val="2"/>
      </rPr>
      <t>Cybersecurity roles and responsibilities are coordinated and aligned with internal roles and external partners</t>
    </r>
  </si>
  <si>
    <r>
      <t>ID.GV-3:</t>
    </r>
    <r>
      <rPr>
        <sz val="10"/>
        <color theme="1"/>
        <rFont val="Calibri"/>
        <family val="2"/>
      </rPr>
      <t xml:space="preserve"> Legal and regulatory requirements regarding cybersecurity, including privacy and civil liberties obligations, are understood and managed</t>
    </r>
  </si>
  <si>
    <r>
      <t xml:space="preserve">ID.GV-4: </t>
    </r>
    <r>
      <rPr>
        <sz val="10"/>
        <color theme="1"/>
        <rFont val="Calibri"/>
        <family val="2"/>
      </rPr>
      <t>Governance and risk management processes address cybersecurity risks</t>
    </r>
  </si>
  <si>
    <t>Ensure that the organizational cybersecurity policy is established and communicated</t>
  </si>
  <si>
    <t>Ensure that legal and regulatory requirements regarding cybersecurity, including privacy and civil liberties obligations, are understood and managed</t>
  </si>
  <si>
    <t>Ensure that cybesecurity roles and responsibilities are coordinated and aligned with internal roles and external partners</t>
  </si>
  <si>
    <t>Ensure that governance and risk management processes address cybersecurity risks like phishing.</t>
  </si>
  <si>
    <t>Are there regular updates and reviews of the policy?</t>
  </si>
  <si>
    <t>Is there a process for employees to provide feedback on the policy?</t>
  </si>
  <si>
    <t>Are specific cybersecurity roles and responsibilities clearly defined?</t>
  </si>
  <si>
    <t>How effectively are these roles communicated to both internal staff and external partners?</t>
  </si>
  <si>
    <t>To what extent is there a designated person responsible for coordinating cybersecurity efforts?</t>
  </si>
  <si>
    <t>How well are cybersecurity roles aligned with the organization's overall business objectives?</t>
  </si>
  <si>
    <t>How comprehensively are the applicable legal and regulatory cybersecurity requirements identified?</t>
  </si>
  <si>
    <t>How effectively is compliance with these requirements ensured and monitored?</t>
  </si>
  <si>
    <t>To what extent are employees trained on privacy and civil liberties obligations?</t>
  </si>
  <si>
    <t>How well is the process for staying updated on changes in regulations implemented?</t>
  </si>
  <si>
    <t>How effectively are cybersecurity risks identified and assessed within the organization?</t>
  </si>
  <si>
    <t>To what extent are processes in place to manage and mitigate identified cybersecurity risks?</t>
  </si>
  <si>
    <t>How comprehensively is phishing risk addressed within governance processes?</t>
  </si>
  <si>
    <t>How regularly are audits or assessments of risk management practices conducted and utilized?</t>
  </si>
  <si>
    <t>APO01.03, APO13.01, EDM01.01,
EDM01.02</t>
  </si>
  <si>
    <t>APO01.02, APO10.03, APO13.02,
DSS05.04</t>
  </si>
  <si>
    <t>BAI02.01, MEA03.01, MEA03.04</t>
  </si>
  <si>
    <t>EDM03.02, APO12.02, APO12.05,
DSS04.02</t>
  </si>
  <si>
    <r>
      <rPr>
        <b/>
        <sz val="11"/>
        <color theme="0"/>
        <rFont val="Calibri"/>
        <family val="2"/>
      </rPr>
      <t>Governance (ID.GV)</t>
    </r>
    <r>
      <rPr>
        <sz val="11"/>
        <color theme="0"/>
        <rFont val="Calibri"/>
        <family val="2"/>
      </rPr>
      <t>: The
policies, procedures, and
processes to manage and monitor
the organization’s regulatory,
legal, risk, environmental, and
operational requirements are
understood and inform the management of cybersecurity risk.</t>
    </r>
  </si>
  <si>
    <t>1. Verify the existence of a documented cybersecurity policy.
2. Check how the policy is communicated to all employees and stakeholders.
3. Ensure the policy is regularly reviewed and updated.
4. Confirm there is a process for employee feedback on the policy.</t>
  </si>
  <si>
    <t>1. Verify that cybersecurity roles and responsibilities are clearly defined.
2. Ensure roles are aligned with internal and external partners.
3. Assess how roles and responsibilities are communicated within the organization.
4. Evaluate the coordination between different roles and departments.</t>
  </si>
  <si>
    <t>1. Verify that all applicable legal and regulatory requirements are identified.
2. Check the processes in place to ensure compliance.
3. Ensure employees are trained on privacy and civil liberties obligations.
4. Confirm there is a process for staying updated on regulatory changes.</t>
  </si>
  <si>
    <t>1. Assess how cybersecurity risks are identified and documented.
2. Verify the processes in place to manage and mitigate risks.
3. Ensure risk management processes are integrated into overall governance.
4. Check for regular audits or assessments of risk management practices.</t>
  </si>
  <si>
    <t>1. Verify the existence of a comprehensive cybersecurity training program for all users.
2. Check records to ensure all users have completed the training.
3. Assess the training content for relevance and alignment with current threats and policies.
4. Confirm there is a process for users to provide feedback on the training.</t>
  </si>
  <si>
    <t>1. Verify that privileged users receive specialized training tailored to their roles.
2. Evaluate methods to assess privileged users' understanding of their responsibilities.
3. Ensure that training includes information on access control and data protection.</t>
  </si>
  <si>
    <t>1. Identify all third-party stakeholders involved with the organization.
2. Verify that these stakeholders receive appropriate training and communication regarding their cybersecurity roles.
3. Check that agreements with third parties include cybersecurity responsibilities</t>
  </si>
  <si>
    <t>1. Verify the existence of a cybersecurity training program specifically for senior executives.
2. Ensure training includes information on cybersecurity risks and strategic decision-making.
3. Assess how senior executives are engaged in cybersecurity initiatives.</t>
  </si>
  <si>
    <t>1. Verify that both physical and cybersecurity personnel receive integrated training.
2. Ensure training clearly defines the roles and responsibilities of these personnel.
3. Assess how training promotes collaboration between physical and cybersecurity teams.</t>
  </si>
  <si>
    <t>Is the policy communicated to all employees?</t>
  </si>
  <si>
    <t>Organization Information</t>
  </si>
  <si>
    <t>Organization Name</t>
  </si>
  <si>
    <t>Organization Address</t>
  </si>
  <si>
    <t>Assessment Executive Sponsor</t>
  </si>
  <si>
    <t>Assessment Technical Leader</t>
  </si>
  <si>
    <t>Assessment Date</t>
  </si>
  <si>
    <t>How to use this tool.</t>
  </si>
  <si>
    <t>1. Enter the organizational profiles and complete relevant information in the fields.</t>
  </si>
  <si>
    <t>2. Proceed through the green tabs and respond to the questions posed. Enter a question score  0-4 for how closely you meet the objective.</t>
  </si>
  <si>
    <t>3. Review each of the summary sheets. Note how the ranking is automatically determined.</t>
  </si>
  <si>
    <t xml:space="preserve">4. Proceed to the current profile summary sheet. This page shows the NIST categories, and their level of achievement. </t>
  </si>
  <si>
    <t>Tab Colors.</t>
  </si>
  <si>
    <t>Tabs highlighted in green requires user input.</t>
  </si>
  <si>
    <t>Tabs highlighted in blue should be reviewed. They do not contain user input.</t>
  </si>
  <si>
    <t>Tabs highlighted in red contain background data that should not be accessed.</t>
  </si>
  <si>
    <t>Please review the following instructions on this page to ensure that the tool is used appropriately.</t>
  </si>
  <si>
    <t>by Sam Bronson.</t>
  </si>
  <si>
    <t>Roles</t>
  </si>
  <si>
    <t xml:space="preserve">The following roles have been defined by relevant standards. Enter in the space provided the name of the person who best fits that role in your organization. </t>
  </si>
  <si>
    <t xml:space="preserve">Leadership / Executive / Management </t>
  </si>
  <si>
    <t>Project Sponsor / Owner</t>
  </si>
  <si>
    <t xml:space="preserve">Chief Information Officer </t>
  </si>
  <si>
    <t>Chief Information Security Officer</t>
  </si>
  <si>
    <t>Human Resources Manager</t>
  </si>
  <si>
    <t>Facilities Manager</t>
  </si>
  <si>
    <t>Physical Security Manager</t>
  </si>
  <si>
    <t>IT Manager - Networking</t>
  </si>
  <si>
    <t>IT Manager - Client Services</t>
  </si>
  <si>
    <t>IT Manager - Information Systems</t>
  </si>
  <si>
    <t>IT Manager - Project Management</t>
  </si>
  <si>
    <t>Legal Department</t>
  </si>
  <si>
    <t>Risk and Compliance Officer</t>
  </si>
  <si>
    <t>Finance Manager - Audit and Controls</t>
  </si>
  <si>
    <t>Technical / Functional</t>
  </si>
  <si>
    <t>Information Security Officer</t>
  </si>
  <si>
    <t xml:space="preserve">Security Analyst </t>
  </si>
  <si>
    <t>System Administrator / Architect</t>
  </si>
  <si>
    <t xml:space="preserve">Network Architect </t>
  </si>
  <si>
    <t xml:space="preserve">Service Desk Analyst </t>
  </si>
  <si>
    <t xml:space="preserve">Programmer </t>
  </si>
  <si>
    <t>Assessment Scope</t>
  </si>
  <si>
    <t>System Name</t>
  </si>
  <si>
    <t>System Priority (1 = Not Critical, 5 = Critical)</t>
  </si>
  <si>
    <t xml:space="preserve">NIST Self-Assessment tool for Miss Jean's Flowers. </t>
  </si>
  <si>
    <t>To what extent does your cybersecurity awareness and or training cover necessary topics relevant to your business operations, especially with phishing and data handling?</t>
  </si>
  <si>
    <t>Has a comprehensive cybersecurity policy been developed? (e.g accidental or unauthorized backup overwrites, single point of failure, VPN)</t>
  </si>
  <si>
    <r>
      <rPr>
        <b/>
        <sz val="10"/>
        <color theme="1"/>
        <rFont val="Calibri"/>
        <family val="2"/>
      </rPr>
      <t>Note:</t>
    </r>
    <r>
      <rPr>
        <sz val="10"/>
        <color theme="1"/>
        <rFont val="Calibri"/>
        <family val="2"/>
      </rPr>
      <t xml:space="preserve"> This assessment highlights key areas for improvement in your organization's security posture using the NIST Framework. While some demonstrate strong implementation, others may require attention. This tool was designed with security robustness in mind.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</si>
</sst>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0"/>
      <color theme="1"/>
      <name val="Calibri"/>
      <family val="2"/>
    </font>
    <font>
      <b/>
      <sz val="10"/>
      <color theme="1"/>
      <name val="Calibri"/>
      <family val="2"/>
    </font>
    <font>
      <b/>
      <sz val="10"/>
      <color theme="0"/>
      <name val="Calibri"/>
      <family val="2"/>
    </font>
    <font>
      <b/>
      <sz val="11"/>
      <color theme="0"/>
      <name val="Calibri"/>
      <family val="2"/>
    </font>
    <font>
      <sz val="11"/>
      <color theme="1"/>
      <name val="Calibri"/>
      <family val="2"/>
    </font>
    <font>
      <sz val="11"/>
      <color theme="0"/>
      <name val="Calibri"/>
      <family val="2"/>
    </font>
    <font>
      <b/>
      <sz val="11"/>
      <color theme="1"/>
      <name val="Calibri"/>
      <family val="2"/>
    </font>
    <font>
      <sz val="10"/>
      <color theme="0"/>
      <name val="Calibri"/>
      <family val="2"/>
    </font>
    <font>
      <b/>
      <sz val="16"/>
      <color theme="1"/>
      <name val="Calibri"/>
      <family val="2"/>
    </font>
    <font>
      <b/>
      <sz val="26"/>
      <color theme="1"/>
      <name val="Calibri"/>
      <family val="2"/>
    </font>
    <font>
      <b/>
      <sz val="10"/>
      <color rgb="FF000000"/>
      <name val="Arial"/>
      <family val="2"/>
    </font>
    <font>
      <b/>
      <sz val="10"/>
      <color rgb="FF000000"/>
      <name val="Times New Roman"/>
      <family val="1"/>
    </font>
    <font>
      <b/>
      <sz val="10"/>
      <color rgb="FF000000"/>
      <name val="Calibri"/>
      <family val="2"/>
    </font>
    <font>
      <sz val="10"/>
      <color theme="1"/>
      <name val="Aptos Narrow"/>
      <family val="2"/>
      <scheme val="minor"/>
    </font>
  </fonts>
  <fills count="13">
    <fill>
      <patternFill patternType="none"/>
    </fill>
    <fill>
      <patternFill patternType="gray125"/>
    </fill>
    <fill>
      <patternFill patternType="solid">
        <fgColor theme="3" tint="9.9978637043366805E-2"/>
        <bgColor indexed="64"/>
      </patternFill>
    </fill>
    <fill>
      <patternFill patternType="solid">
        <fgColor theme="3"/>
        <bgColor indexed="64"/>
      </patternFill>
    </fill>
    <fill>
      <patternFill patternType="solid">
        <fgColor rgb="FF7030A0"/>
        <bgColor indexed="64"/>
      </patternFill>
    </fill>
    <fill>
      <patternFill patternType="solid">
        <fgColor theme="0"/>
        <bgColor indexed="64"/>
      </patternFill>
    </fill>
    <fill>
      <patternFill patternType="solid">
        <fgColor theme="0" tint="-0.14999847407452621"/>
        <bgColor indexed="64"/>
      </patternFill>
    </fill>
    <fill>
      <patternFill patternType="solid">
        <fgColor theme="3" tint="0.499984740745262"/>
        <bgColor indexed="64"/>
      </patternFill>
    </fill>
    <fill>
      <patternFill patternType="solid">
        <fgColor theme="2" tint="-9.9978637043366805E-2"/>
        <bgColor indexed="64"/>
      </patternFill>
    </fill>
    <fill>
      <patternFill patternType="solid">
        <fgColor rgb="FF8DB3E2"/>
        <bgColor indexed="64"/>
      </patternFill>
    </fill>
    <fill>
      <patternFill patternType="solid">
        <fgColor theme="9" tint="0.59999389629810485"/>
        <bgColor indexed="64"/>
      </patternFill>
    </fill>
    <fill>
      <patternFill patternType="solid">
        <fgColor rgb="FFFF0000"/>
        <bgColor indexed="64"/>
      </patternFill>
    </fill>
    <fill>
      <patternFill patternType="solid">
        <fgColor rgb="FFFFFF00"/>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rgb="FF000000"/>
      </left>
      <right/>
      <top style="medium">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94">
    <xf numFmtId="0" fontId="0" fillId="0" borderId="0" xfId="0"/>
    <xf numFmtId="0" fontId="1" fillId="0" borderId="0" xfId="0" applyFont="1"/>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3" fillId="2" borderId="3" xfId="0" applyFont="1" applyFill="1" applyBorder="1"/>
    <xf numFmtId="0" fontId="3" fillId="2" borderId="4" xfId="0" applyFont="1" applyFill="1" applyBorder="1"/>
    <xf numFmtId="0" fontId="5" fillId="0" borderId="0" xfId="0" applyFont="1"/>
    <xf numFmtId="0" fontId="4" fillId="3" borderId="1" xfId="0" applyFont="1" applyFill="1" applyBorder="1" applyAlignment="1">
      <alignment vertical="center"/>
    </xf>
    <xf numFmtId="0" fontId="5" fillId="0" borderId="1" xfId="0" applyFont="1" applyBorder="1" applyAlignment="1">
      <alignment vertical="center" wrapText="1"/>
    </xf>
    <xf numFmtId="49" fontId="5" fillId="0" borderId="1" xfId="0" applyNumberFormat="1" applyFont="1" applyBorder="1" applyAlignment="1">
      <alignment vertical="center" wrapText="1"/>
    </xf>
    <xf numFmtId="0" fontId="1" fillId="0" borderId="1" xfId="0" applyFont="1" applyBorder="1" applyAlignment="1">
      <alignment vertical="center" wrapText="1"/>
    </xf>
    <xf numFmtId="0" fontId="4" fillId="3" borderId="5" xfId="0" applyFont="1" applyFill="1" applyBorder="1" applyAlignment="1">
      <alignment vertical="center"/>
    </xf>
    <xf numFmtId="0" fontId="4" fillId="3" borderId="1" xfId="0" applyFont="1" applyFill="1" applyBorder="1"/>
    <xf numFmtId="0" fontId="7" fillId="0" borderId="1" xfId="0" applyFont="1" applyBorder="1" applyAlignment="1">
      <alignment vertical="center"/>
    </xf>
    <xf numFmtId="0" fontId="5" fillId="0" borderId="0" xfId="0" applyFont="1" applyAlignment="1">
      <alignment vertical="center" wrapText="1"/>
    </xf>
    <xf numFmtId="0" fontId="7" fillId="0" borderId="1" xfId="0" applyFont="1" applyBorder="1" applyAlignment="1">
      <alignment vertical="center" wrapText="1"/>
    </xf>
    <xf numFmtId="0" fontId="8" fillId="4" borderId="6" xfId="0" applyFont="1" applyFill="1" applyBorder="1" applyAlignment="1">
      <alignment horizontal="left" vertical="center" wrapText="1" indent="1"/>
    </xf>
    <xf numFmtId="0" fontId="3" fillId="3" borderId="1" xfId="0" applyFont="1" applyFill="1" applyBorder="1"/>
    <xf numFmtId="0" fontId="5" fillId="5" borderId="1" xfId="0" quotePrefix="1" applyFont="1" applyFill="1" applyBorder="1" applyAlignment="1">
      <alignment horizontal="center" vertical="center"/>
    </xf>
    <xf numFmtId="0" fontId="1" fillId="6" borderId="1" xfId="0" applyFont="1" applyFill="1" applyBorder="1" applyAlignment="1">
      <alignment vertical="center" wrapText="1"/>
    </xf>
    <xf numFmtId="0" fontId="5" fillId="5" borderId="5" xfId="0" applyFont="1" applyFill="1" applyBorder="1" applyAlignment="1">
      <alignment horizontal="center" vertical="center"/>
    </xf>
    <xf numFmtId="49" fontId="5" fillId="6" borderId="1" xfId="0" applyNumberFormat="1" applyFont="1" applyFill="1" applyBorder="1" applyAlignment="1">
      <alignment vertical="center" wrapText="1"/>
    </xf>
    <xf numFmtId="0" fontId="5" fillId="6" borderId="1" xfId="0" applyFont="1" applyFill="1" applyBorder="1" applyAlignment="1">
      <alignment vertical="center" wrapText="1"/>
    </xf>
    <xf numFmtId="0" fontId="5" fillId="6" borderId="1" xfId="0" quotePrefix="1" applyFont="1" applyFill="1" applyBorder="1" applyAlignment="1">
      <alignment horizontal="center" vertical="center"/>
    </xf>
    <xf numFmtId="0" fontId="7" fillId="6" borderId="1" xfId="0" applyFont="1" applyFill="1" applyBorder="1" applyAlignment="1">
      <alignment vertical="center" wrapText="1"/>
    </xf>
    <xf numFmtId="0" fontId="8" fillId="4" borderId="1" xfId="0" applyFont="1" applyFill="1" applyBorder="1" applyAlignment="1">
      <alignment horizontal="left" vertical="center" wrapText="1" indent="1"/>
    </xf>
    <xf numFmtId="0" fontId="0" fillId="0" borderId="0" xfId="0" quotePrefix="1"/>
    <xf numFmtId="0" fontId="1" fillId="5" borderId="1" xfId="0" applyFont="1" applyFill="1" applyBorder="1" applyAlignment="1">
      <alignment horizontal="center" vertical="center" wrapText="1"/>
    </xf>
    <xf numFmtId="0" fontId="5" fillId="5" borderId="1" xfId="0" applyFont="1" applyFill="1" applyBorder="1" applyAlignment="1">
      <alignment horizontal="center" vertical="center"/>
    </xf>
    <xf numFmtId="0" fontId="1" fillId="0" borderId="1" xfId="0" applyFont="1" applyBorder="1" applyAlignment="1">
      <alignment wrapText="1"/>
    </xf>
    <xf numFmtId="0" fontId="1" fillId="8" borderId="1" xfId="0" applyFont="1" applyFill="1" applyBorder="1" applyAlignment="1">
      <alignment vertical="center" wrapText="1"/>
    </xf>
    <xf numFmtId="0" fontId="1" fillId="0" borderId="0" xfId="0" applyFont="1" applyAlignment="1">
      <alignment vertical="center" wrapText="1"/>
    </xf>
    <xf numFmtId="0" fontId="2" fillId="10" borderId="1" xfId="0" applyFont="1" applyFill="1" applyBorder="1" applyAlignment="1">
      <alignment horizontal="center" vertical="center"/>
    </xf>
    <xf numFmtId="0" fontId="13" fillId="9" borderId="11" xfId="0" applyFont="1" applyFill="1" applyBorder="1" applyAlignment="1">
      <alignment vertical="top" wrapText="1"/>
    </xf>
    <xf numFmtId="0" fontId="13" fillId="9" borderId="1" xfId="0" applyFont="1" applyFill="1" applyBorder="1" applyAlignment="1">
      <alignment vertical="top" wrapText="1"/>
    </xf>
    <xf numFmtId="0" fontId="1" fillId="0" borderId="6" xfId="0" applyFont="1" applyBorder="1"/>
    <xf numFmtId="0" fontId="1" fillId="10" borderId="6" xfId="0" applyFont="1" applyFill="1" applyBorder="1"/>
    <xf numFmtId="0" fontId="1" fillId="7" borderId="6" xfId="0" applyFont="1" applyFill="1" applyBorder="1"/>
    <xf numFmtId="0" fontId="8" fillId="11" borderId="6" xfId="0" applyFont="1" applyFill="1" applyBorder="1"/>
    <xf numFmtId="0" fontId="1" fillId="0" borderId="6" xfId="0" applyFont="1" applyBorder="1" applyAlignment="1">
      <alignment wrapText="1"/>
    </xf>
    <xf numFmtId="0" fontId="1" fillId="0" borderId="7" xfId="0" applyFont="1" applyBorder="1" applyAlignment="1">
      <alignment wrapText="1"/>
    </xf>
    <xf numFmtId="0" fontId="9" fillId="8" borderId="1" xfId="0" applyFont="1" applyFill="1" applyBorder="1" applyAlignment="1">
      <alignment horizontal="left" vertical="center"/>
    </xf>
    <xf numFmtId="0" fontId="9" fillId="8" borderId="1" xfId="0" applyFont="1" applyFill="1" applyBorder="1" applyAlignment="1">
      <alignment horizontal="left"/>
    </xf>
    <xf numFmtId="0" fontId="11" fillId="9" borderId="5" xfId="0" applyFont="1" applyFill="1" applyBorder="1" applyAlignment="1">
      <alignment vertical="top" wrapText="1"/>
    </xf>
    <xf numFmtId="0" fontId="11" fillId="9" borderId="10" xfId="0" applyFont="1" applyFill="1" applyBorder="1" applyAlignment="1">
      <alignment vertical="top" wrapText="1"/>
    </xf>
    <xf numFmtId="0" fontId="12" fillId="0" borderId="0" xfId="0" applyFont="1" applyAlignment="1">
      <alignment vertical="top" wrapText="1"/>
    </xf>
    <xf numFmtId="0" fontId="5"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quotePrefix="1" applyFont="1" applyFill="1" applyBorder="1" applyAlignment="1">
      <alignment horizontal="center" vertical="center"/>
    </xf>
    <xf numFmtId="0" fontId="7" fillId="0" borderId="0" xfId="0" applyFont="1" applyAlignment="1">
      <alignment horizontal="center"/>
    </xf>
    <xf numFmtId="0" fontId="5" fillId="0" borderId="0" xfId="0" applyFont="1" applyAlignment="1">
      <alignment horizontal="center" vertical="center"/>
    </xf>
    <xf numFmtId="0" fontId="5" fillId="0" borderId="0" xfId="0" applyFont="1" applyAlignment="1">
      <alignment horizontal="center"/>
    </xf>
    <xf numFmtId="0" fontId="9" fillId="12" borderId="8" xfId="0" applyFont="1" applyFill="1" applyBorder="1"/>
    <xf numFmtId="0" fontId="2" fillId="12" borderId="6" xfId="0" applyFont="1" applyFill="1" applyBorder="1"/>
    <xf numFmtId="0" fontId="1" fillId="12" borderId="7" xfId="0" applyFont="1" applyFill="1" applyBorder="1"/>
    <xf numFmtId="0" fontId="1" fillId="10" borderId="7" xfId="0" applyFont="1" applyFill="1" applyBorder="1"/>
    <xf numFmtId="0" fontId="1" fillId="10" borderId="1" xfId="0" applyFont="1" applyFill="1" applyBorder="1"/>
    <xf numFmtId="0" fontId="14" fillId="0" borderId="0" xfId="0" applyFont="1"/>
    <xf numFmtId="0" fontId="14" fillId="10" borderId="5" xfId="0" applyFont="1" applyFill="1" applyBorder="1"/>
    <xf numFmtId="0" fontId="14" fillId="10" borderId="1" xfId="0" applyFont="1" applyFill="1" applyBorder="1"/>
    <xf numFmtId="0" fontId="13" fillId="9" borderId="5" xfId="0" applyFont="1" applyFill="1" applyBorder="1" applyAlignment="1">
      <alignment horizontal="center" vertical="top" wrapText="1"/>
    </xf>
    <xf numFmtId="0" fontId="13" fillId="9" borderId="10" xfId="0" applyFont="1" applyFill="1" applyBorder="1" applyAlignment="1">
      <alignment horizontal="center" vertical="top" wrapText="1"/>
    </xf>
    <xf numFmtId="0" fontId="11" fillId="9" borderId="2" xfId="0" applyFont="1" applyFill="1" applyBorder="1" applyAlignment="1">
      <alignment horizontal="center" vertical="top" wrapText="1"/>
    </xf>
    <xf numFmtId="0" fontId="11" fillId="9" borderId="4" xfId="0" applyFont="1" applyFill="1" applyBorder="1" applyAlignment="1">
      <alignment horizontal="center" vertical="top" wrapText="1"/>
    </xf>
    <xf numFmtId="0" fontId="13" fillId="9" borderId="18" xfId="0" applyFont="1" applyFill="1" applyBorder="1" applyAlignment="1">
      <alignment horizontal="center" vertical="top" wrapText="1"/>
    </xf>
    <xf numFmtId="0" fontId="11" fillId="9" borderId="5" xfId="0" applyFont="1" applyFill="1" applyBorder="1" applyAlignment="1">
      <alignment horizontal="center" vertical="top" wrapText="1"/>
    </xf>
    <xf numFmtId="0" fontId="11" fillId="9" borderId="10" xfId="0" applyFont="1" applyFill="1" applyBorder="1" applyAlignment="1">
      <alignment horizontal="center" vertical="top" wrapText="1"/>
    </xf>
    <xf numFmtId="0" fontId="14" fillId="10" borderId="12" xfId="0" applyFont="1" applyFill="1" applyBorder="1" applyAlignment="1">
      <alignment horizontal="center"/>
    </xf>
    <xf numFmtId="0" fontId="14" fillId="10" borderId="13" xfId="0" applyFont="1" applyFill="1" applyBorder="1" applyAlignment="1">
      <alignment horizontal="center"/>
    </xf>
    <xf numFmtId="0" fontId="14" fillId="10" borderId="14" xfId="0" applyFont="1" applyFill="1" applyBorder="1" applyAlignment="1">
      <alignment horizontal="center"/>
    </xf>
    <xf numFmtId="0" fontId="14" fillId="10" borderId="15" xfId="0" applyFont="1" applyFill="1" applyBorder="1" applyAlignment="1">
      <alignment horizontal="center"/>
    </xf>
    <xf numFmtId="0" fontId="14" fillId="10" borderId="16" xfId="0" applyFont="1" applyFill="1" applyBorder="1" applyAlignment="1">
      <alignment horizontal="center"/>
    </xf>
    <xf numFmtId="0" fontId="14" fillId="10" borderId="17" xfId="0" applyFont="1" applyFill="1" applyBorder="1" applyAlignment="1">
      <alignment horizontal="center"/>
    </xf>
    <xf numFmtId="0" fontId="1" fillId="0" borderId="5" xfId="0" applyFont="1" applyBorder="1"/>
    <xf numFmtId="0" fontId="1" fillId="0" borderId="10" xfId="0" applyFont="1" applyBorder="1"/>
    <xf numFmtId="0" fontId="2" fillId="0" borderId="8" xfId="0" applyFont="1" applyBorder="1" applyAlignment="1">
      <alignment vertical="center" wrapText="1"/>
    </xf>
    <xf numFmtId="0" fontId="2" fillId="0" borderId="6" xfId="0" applyFont="1" applyBorder="1" applyAlignment="1">
      <alignment vertical="center" wrapText="1"/>
    </xf>
    <xf numFmtId="0" fontId="1" fillId="0" borderId="1" xfId="0" applyFont="1" applyBorder="1" applyAlignment="1">
      <alignment vertical="center" wrapText="1"/>
    </xf>
    <xf numFmtId="0" fontId="2" fillId="6" borderId="8" xfId="0" applyFont="1" applyFill="1" applyBorder="1" applyAlignment="1">
      <alignment vertical="center" wrapText="1"/>
    </xf>
    <xf numFmtId="0" fontId="2" fillId="6" borderId="6" xfId="0" applyFont="1" applyFill="1" applyBorder="1" applyAlignment="1">
      <alignment vertical="center" wrapText="1"/>
    </xf>
    <xf numFmtId="0" fontId="1" fillId="6" borderId="1" xfId="0" applyFont="1" applyFill="1" applyBorder="1" applyAlignment="1">
      <alignment vertical="center" wrapText="1"/>
    </xf>
    <xf numFmtId="0" fontId="2" fillId="0" borderId="7" xfId="0" applyFont="1" applyBorder="1" applyAlignment="1">
      <alignment vertical="center" wrapText="1"/>
    </xf>
    <xf numFmtId="0" fontId="2" fillId="6" borderId="7" xfId="0" applyFont="1" applyFill="1" applyBorder="1" applyAlignment="1">
      <alignment vertical="center" wrapText="1"/>
    </xf>
    <xf numFmtId="0" fontId="6" fillId="4" borderId="1" xfId="0" applyFont="1" applyFill="1" applyBorder="1" applyAlignment="1">
      <alignment vertical="center" wrapText="1"/>
    </xf>
    <xf numFmtId="0" fontId="6" fillId="7" borderId="1" xfId="0" applyFont="1" applyFill="1" applyBorder="1" applyAlignment="1">
      <alignment vertical="center" wrapText="1"/>
    </xf>
    <xf numFmtId="0" fontId="4" fillId="4" borderId="16" xfId="0" applyFont="1" applyFill="1" applyBorder="1" applyAlignment="1">
      <alignment horizontal="center"/>
    </xf>
    <xf numFmtId="0" fontId="4" fillId="4" borderId="22" xfId="0" applyFont="1" applyFill="1" applyBorder="1" applyAlignment="1">
      <alignment horizontal="center"/>
    </xf>
    <xf numFmtId="0" fontId="4" fillId="4" borderId="17" xfId="0" applyFont="1" applyFill="1" applyBorder="1" applyAlignment="1">
      <alignment horizontal="center"/>
    </xf>
    <xf numFmtId="0" fontId="4" fillId="7" borderId="5" xfId="0" applyFont="1" applyFill="1" applyBorder="1" applyAlignment="1">
      <alignment horizontal="center"/>
    </xf>
    <xf numFmtId="0" fontId="4" fillId="7" borderId="9" xfId="0" applyFont="1" applyFill="1" applyBorder="1" applyAlignment="1">
      <alignment horizontal="center"/>
    </xf>
    <xf numFmtId="0" fontId="4" fillId="7" borderId="10" xfId="0" applyFont="1" applyFill="1" applyBorder="1" applyAlignment="1">
      <alignment horizontal="center"/>
    </xf>
    <xf numFmtId="0" fontId="10" fillId="12" borderId="19" xfId="0" applyFont="1" applyFill="1" applyBorder="1" applyAlignment="1">
      <alignment horizontal="center"/>
    </xf>
    <xf numFmtId="0" fontId="7" fillId="12" borderId="20" xfId="0" applyFont="1" applyFill="1" applyBorder="1" applyAlignment="1">
      <alignment horizontal="center"/>
    </xf>
    <xf numFmtId="0" fontId="7" fillId="12" borderId="2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6666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7DAE2-08A9-4B3E-A9BF-72F97EFF1A8A}">
  <sheetPr>
    <tabColor theme="3" tint="0.499984740745262"/>
  </sheetPr>
  <dimension ref="A1:A17"/>
  <sheetViews>
    <sheetView workbookViewId="0">
      <selection activeCell="D17" sqref="D17"/>
    </sheetView>
  </sheetViews>
  <sheetFormatPr defaultRowHeight="12.75" x14ac:dyDescent="0.2"/>
  <cols>
    <col min="1" max="1" width="80.140625" style="1" customWidth="1"/>
    <col min="2" max="16384" width="9.140625" style="1"/>
  </cols>
  <sheetData>
    <row r="1" spans="1:1" ht="21" customHeight="1" x14ac:dyDescent="0.35">
      <c r="A1" s="52" t="s">
        <v>134</v>
      </c>
    </row>
    <row r="2" spans="1:1" x14ac:dyDescent="0.2">
      <c r="A2" s="53" t="s">
        <v>107</v>
      </c>
    </row>
    <row r="3" spans="1:1" ht="13.5" thickBot="1" x14ac:dyDescent="0.25">
      <c r="A3" s="54" t="s">
        <v>106</v>
      </c>
    </row>
    <row r="4" spans="1:1" ht="13.5" thickBot="1" x14ac:dyDescent="0.25"/>
    <row r="5" spans="1:1" ht="21.75" thickBot="1" x14ac:dyDescent="0.25">
      <c r="A5" s="41" t="s">
        <v>102</v>
      </c>
    </row>
    <row r="6" spans="1:1" x14ac:dyDescent="0.2">
      <c r="A6" s="36" t="s">
        <v>103</v>
      </c>
    </row>
    <row r="7" spans="1:1" x14ac:dyDescent="0.2">
      <c r="A7" s="37" t="s">
        <v>104</v>
      </c>
    </row>
    <row r="8" spans="1:1" x14ac:dyDescent="0.2">
      <c r="A8" s="38" t="s">
        <v>105</v>
      </c>
    </row>
    <row r="9" spans="1:1" ht="13.5" thickBot="1" x14ac:dyDescent="0.25">
      <c r="A9" s="35"/>
    </row>
    <row r="10" spans="1:1" ht="21.75" thickBot="1" x14ac:dyDescent="0.4">
      <c r="A10" s="42" t="s">
        <v>97</v>
      </c>
    </row>
    <row r="11" spans="1:1" x14ac:dyDescent="0.2">
      <c r="A11" s="35" t="s">
        <v>98</v>
      </c>
    </row>
    <row r="12" spans="1:1" ht="25.5" x14ac:dyDescent="0.2">
      <c r="A12" s="39" t="s">
        <v>99</v>
      </c>
    </row>
    <row r="13" spans="1:1" x14ac:dyDescent="0.2">
      <c r="A13" s="35" t="s">
        <v>100</v>
      </c>
    </row>
    <row r="14" spans="1:1" ht="26.25" thickBot="1" x14ac:dyDescent="0.25">
      <c r="A14" s="40" t="s">
        <v>101</v>
      </c>
    </row>
    <row r="16" spans="1:1" ht="13.5" thickBot="1" x14ac:dyDescent="0.25"/>
    <row r="17" spans="1:1" ht="39" thickBot="1" x14ac:dyDescent="0.25">
      <c r="A17" s="29" t="s">
        <v>137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B9FF4-45F2-4AEA-B29B-7DA4AF66888F}">
  <sheetPr>
    <tabColor theme="9" tint="0.59999389629810485"/>
  </sheetPr>
  <dimension ref="A1:E35"/>
  <sheetViews>
    <sheetView workbookViewId="0">
      <selection activeCell="C15" sqref="C15"/>
    </sheetView>
  </sheetViews>
  <sheetFormatPr defaultRowHeight="15" x14ac:dyDescent="0.25"/>
  <cols>
    <col min="1" max="1" width="29.42578125" style="6" customWidth="1"/>
    <col min="2" max="2" width="44.7109375" style="6" customWidth="1"/>
    <col min="3" max="3" width="9.140625" style="6"/>
    <col min="4" max="4" width="50.7109375" style="6" customWidth="1"/>
    <col min="5" max="5" width="72.85546875" style="6" customWidth="1"/>
    <col min="6" max="16384" width="9.140625" style="6"/>
  </cols>
  <sheetData>
    <row r="1" spans="1:5" ht="15.75" thickBot="1" x14ac:dyDescent="0.3">
      <c r="A1" s="60" t="s">
        <v>91</v>
      </c>
      <c r="B1" s="61"/>
      <c r="C1" s="1"/>
      <c r="D1" s="62" t="s">
        <v>108</v>
      </c>
      <c r="E1" s="63"/>
    </row>
    <row r="2" spans="1:5" ht="15.75" thickBot="1" x14ac:dyDescent="0.3">
      <c r="A2" s="33" t="s">
        <v>92</v>
      </c>
      <c r="B2" s="55"/>
      <c r="C2" s="1"/>
      <c r="D2" s="73" t="s">
        <v>109</v>
      </c>
      <c r="E2" s="74"/>
    </row>
    <row r="3" spans="1:5" ht="15.75" thickBot="1" x14ac:dyDescent="0.3">
      <c r="A3" s="33" t="s">
        <v>93</v>
      </c>
      <c r="B3" s="56"/>
      <c r="C3" s="1"/>
      <c r="D3" s="45"/>
      <c r="E3" s="45"/>
    </row>
    <row r="4" spans="1:5" ht="15.75" thickBot="1" x14ac:dyDescent="0.3">
      <c r="A4" s="33" t="s">
        <v>94</v>
      </c>
      <c r="B4" s="56"/>
      <c r="C4" s="1"/>
      <c r="D4" s="45"/>
      <c r="E4" s="45"/>
    </row>
    <row r="5" spans="1:5" ht="15.75" thickBot="1" x14ac:dyDescent="0.3">
      <c r="A5" s="33" t="s">
        <v>95</v>
      </c>
      <c r="B5" s="56"/>
      <c r="C5" s="1"/>
      <c r="D5" s="57"/>
      <c r="E5" s="57"/>
    </row>
    <row r="6" spans="1:5" ht="15.75" thickBot="1" x14ac:dyDescent="0.3">
      <c r="A6" s="34" t="s">
        <v>96</v>
      </c>
      <c r="B6" s="56"/>
      <c r="C6" s="1"/>
      <c r="D6" s="60" t="s">
        <v>110</v>
      </c>
      <c r="E6" s="61"/>
    </row>
    <row r="7" spans="1:5" ht="15.75" thickBot="1" x14ac:dyDescent="0.3">
      <c r="A7" s="1"/>
      <c r="B7" s="1"/>
      <c r="C7" s="1"/>
      <c r="D7" s="33" t="s">
        <v>111</v>
      </c>
      <c r="E7" s="56"/>
    </row>
    <row r="8" spans="1:5" ht="15.75" thickBot="1" x14ac:dyDescent="0.3">
      <c r="A8" s="65" t="s">
        <v>131</v>
      </c>
      <c r="B8" s="66"/>
      <c r="C8" s="1"/>
      <c r="D8" s="33" t="s">
        <v>112</v>
      </c>
      <c r="E8" s="56"/>
    </row>
    <row r="9" spans="1:5" ht="15.75" thickBot="1" x14ac:dyDescent="0.3">
      <c r="A9" s="67"/>
      <c r="B9" s="68"/>
      <c r="C9" s="1"/>
      <c r="D9" s="33" t="s">
        <v>113</v>
      </c>
      <c r="E9" s="56"/>
    </row>
    <row r="10" spans="1:5" ht="15.75" thickBot="1" x14ac:dyDescent="0.3">
      <c r="A10" s="69"/>
      <c r="B10" s="70"/>
      <c r="C10" s="1"/>
      <c r="D10" s="33" t="s">
        <v>114</v>
      </c>
      <c r="E10" s="56"/>
    </row>
    <row r="11" spans="1:5" ht="15.75" thickBot="1" x14ac:dyDescent="0.3">
      <c r="A11" s="71"/>
      <c r="B11" s="72"/>
      <c r="C11" s="1"/>
      <c r="D11" s="33" t="s">
        <v>115</v>
      </c>
      <c r="E11" s="56"/>
    </row>
    <row r="12" spans="1:5" ht="15.75" thickBot="1" x14ac:dyDescent="0.3">
      <c r="A12" s="57"/>
      <c r="B12" s="57"/>
      <c r="C12" s="1"/>
      <c r="D12" s="33" t="s">
        <v>116</v>
      </c>
      <c r="E12" s="56"/>
    </row>
    <row r="13" spans="1:5" ht="15.75" thickBot="1" x14ac:dyDescent="0.3">
      <c r="A13" s="43" t="s">
        <v>132</v>
      </c>
      <c r="B13" s="44" t="s">
        <v>133</v>
      </c>
      <c r="C13" s="1"/>
      <c r="D13" s="33" t="s">
        <v>117</v>
      </c>
      <c r="E13" s="56"/>
    </row>
    <row r="14" spans="1:5" ht="15.75" thickBot="1" x14ac:dyDescent="0.3">
      <c r="A14" s="58"/>
      <c r="B14" s="59"/>
      <c r="C14" s="1"/>
      <c r="D14" s="33" t="s">
        <v>118</v>
      </c>
      <c r="E14" s="56"/>
    </row>
    <row r="15" spans="1:5" ht="15.75" thickBot="1" x14ac:dyDescent="0.3">
      <c r="A15" s="58"/>
      <c r="B15" s="59"/>
      <c r="C15" s="1"/>
      <c r="D15" s="33" t="s">
        <v>119</v>
      </c>
      <c r="E15" s="56"/>
    </row>
    <row r="16" spans="1:5" ht="15.75" thickBot="1" x14ac:dyDescent="0.3">
      <c r="A16" s="58"/>
      <c r="B16" s="59"/>
      <c r="C16" s="1"/>
      <c r="D16" s="33" t="s">
        <v>120</v>
      </c>
      <c r="E16" s="56"/>
    </row>
    <row r="17" spans="1:5" ht="15.75" thickBot="1" x14ac:dyDescent="0.3">
      <c r="A17" s="58"/>
      <c r="B17" s="59"/>
      <c r="C17" s="1"/>
      <c r="D17" s="33" t="s">
        <v>121</v>
      </c>
      <c r="E17" s="56"/>
    </row>
    <row r="18" spans="1:5" ht="15.75" thickBot="1" x14ac:dyDescent="0.3">
      <c r="A18" s="58"/>
      <c r="B18" s="59"/>
      <c r="C18" s="1"/>
      <c r="D18" s="33" t="s">
        <v>122</v>
      </c>
      <c r="E18" s="56"/>
    </row>
    <row r="19" spans="1:5" ht="15.75" thickBot="1" x14ac:dyDescent="0.3">
      <c r="A19" s="58"/>
      <c r="B19" s="59"/>
      <c r="C19" s="1"/>
      <c r="D19" s="33" t="s">
        <v>123</v>
      </c>
      <c r="E19" s="56"/>
    </row>
    <row r="20" spans="1:5" ht="15.75" thickBot="1" x14ac:dyDescent="0.3">
      <c r="A20" s="58"/>
      <c r="B20" s="59"/>
      <c r="C20" s="1"/>
      <c r="D20" s="64" t="s">
        <v>124</v>
      </c>
      <c r="E20" s="61"/>
    </row>
    <row r="21" spans="1:5" ht="15.75" thickBot="1" x14ac:dyDescent="0.3">
      <c r="A21" s="58"/>
      <c r="B21" s="59"/>
      <c r="C21" s="1"/>
      <c r="D21" s="33" t="s">
        <v>125</v>
      </c>
      <c r="E21" s="56"/>
    </row>
    <row r="22" spans="1:5" ht="15.75" thickBot="1" x14ac:dyDescent="0.3">
      <c r="A22" s="58"/>
      <c r="B22" s="59"/>
      <c r="C22" s="1"/>
      <c r="D22" s="33" t="s">
        <v>126</v>
      </c>
      <c r="E22" s="56"/>
    </row>
    <row r="23" spans="1:5" ht="15.75" thickBot="1" x14ac:dyDescent="0.3">
      <c r="A23" s="58"/>
      <c r="B23" s="59"/>
      <c r="C23" s="1"/>
      <c r="D23" s="33" t="s">
        <v>127</v>
      </c>
      <c r="E23" s="56"/>
    </row>
    <row r="24" spans="1:5" ht="15.75" thickBot="1" x14ac:dyDescent="0.3">
      <c r="A24" s="58"/>
      <c r="B24" s="59"/>
      <c r="C24" s="1"/>
      <c r="D24" s="33" t="s">
        <v>127</v>
      </c>
      <c r="E24" s="56"/>
    </row>
    <row r="25" spans="1:5" ht="15.75" thickBot="1" x14ac:dyDescent="0.3">
      <c r="A25" s="58"/>
      <c r="B25" s="59"/>
      <c r="C25" s="1"/>
      <c r="D25" s="33" t="s">
        <v>127</v>
      </c>
      <c r="E25" s="56"/>
    </row>
    <row r="26" spans="1:5" ht="15.75" thickBot="1" x14ac:dyDescent="0.3">
      <c r="A26" s="58"/>
      <c r="B26" s="59"/>
      <c r="C26" s="1"/>
      <c r="D26" s="33" t="s">
        <v>127</v>
      </c>
      <c r="E26" s="56"/>
    </row>
    <row r="27" spans="1:5" ht="15.75" thickBot="1" x14ac:dyDescent="0.3">
      <c r="A27" s="58"/>
      <c r="B27" s="59"/>
      <c r="C27" s="1"/>
      <c r="D27" s="33" t="s">
        <v>127</v>
      </c>
      <c r="E27" s="56"/>
    </row>
    <row r="28" spans="1:5" ht="15.75" thickBot="1" x14ac:dyDescent="0.3">
      <c r="A28" s="58"/>
      <c r="B28" s="59"/>
      <c r="C28" s="1"/>
      <c r="D28" s="33" t="s">
        <v>127</v>
      </c>
      <c r="E28" s="56"/>
    </row>
    <row r="29" spans="1:5" ht="15.75" thickBot="1" x14ac:dyDescent="0.3">
      <c r="A29" s="58"/>
      <c r="B29" s="59"/>
      <c r="C29" s="1"/>
      <c r="D29" s="33" t="s">
        <v>128</v>
      </c>
      <c r="E29" s="56"/>
    </row>
    <row r="30" spans="1:5" ht="15.75" thickBot="1" x14ac:dyDescent="0.3">
      <c r="A30" s="58"/>
      <c r="B30" s="59"/>
      <c r="C30" s="1"/>
      <c r="D30" s="33" t="s">
        <v>129</v>
      </c>
      <c r="E30" s="56"/>
    </row>
    <row r="31" spans="1:5" ht="15.75" thickBot="1" x14ac:dyDescent="0.3">
      <c r="A31" s="1"/>
      <c r="B31" s="1"/>
      <c r="C31" s="1"/>
      <c r="D31" s="33" t="s">
        <v>129</v>
      </c>
      <c r="E31" s="56"/>
    </row>
    <row r="32" spans="1:5" ht="15.75" thickBot="1" x14ac:dyDescent="0.3">
      <c r="A32" s="1"/>
      <c r="B32" s="1"/>
      <c r="C32" s="1"/>
      <c r="D32" s="33" t="s">
        <v>129</v>
      </c>
      <c r="E32" s="56"/>
    </row>
    <row r="33" spans="1:5" ht="15.75" thickBot="1" x14ac:dyDescent="0.3">
      <c r="A33" s="1"/>
      <c r="B33" s="1"/>
      <c r="C33" s="1"/>
      <c r="D33" s="33" t="s">
        <v>129</v>
      </c>
      <c r="E33" s="56"/>
    </row>
    <row r="34" spans="1:5" ht="15.75" thickBot="1" x14ac:dyDescent="0.3">
      <c r="A34" s="1"/>
      <c r="B34" s="1"/>
      <c r="C34" s="1"/>
      <c r="D34" s="33" t="s">
        <v>130</v>
      </c>
      <c r="E34" s="56"/>
    </row>
    <row r="35" spans="1:5" ht="15.75" thickBot="1" x14ac:dyDescent="0.3">
      <c r="A35" s="1"/>
      <c r="B35" s="1"/>
      <c r="C35" s="1"/>
      <c r="D35" s="33" t="s">
        <v>130</v>
      </c>
      <c r="E35" s="56"/>
    </row>
  </sheetData>
  <mergeCells count="7">
    <mergeCell ref="A1:B1"/>
    <mergeCell ref="D1:E1"/>
    <mergeCell ref="D6:E6"/>
    <mergeCell ref="D20:E20"/>
    <mergeCell ref="A8:B8"/>
    <mergeCell ref="A9:B11"/>
    <mergeCell ref="D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0641E-6313-4204-B16B-BD7AC8986F7D}">
  <sheetPr>
    <tabColor theme="9" tint="0.59999389629810485"/>
  </sheetPr>
  <dimension ref="A1:G11"/>
  <sheetViews>
    <sheetView zoomScaleNormal="100" workbookViewId="0">
      <selection activeCell="H2" sqref="H2"/>
    </sheetView>
  </sheetViews>
  <sheetFormatPr defaultRowHeight="12.75" x14ac:dyDescent="0.2"/>
  <cols>
    <col min="1" max="2" width="25.7109375" style="1" customWidth="1"/>
    <col min="3" max="3" width="72.5703125" style="1" customWidth="1"/>
    <col min="4" max="4" width="19.42578125" style="1" bestFit="1" customWidth="1"/>
    <col min="5" max="5" width="45.7109375" style="1" customWidth="1"/>
    <col min="6" max="6" width="3.140625" style="1" customWidth="1"/>
    <col min="7" max="7" width="25.42578125" style="1" bestFit="1" customWidth="1"/>
    <col min="8" max="16384" width="9.140625" style="1"/>
  </cols>
  <sheetData>
    <row r="1" spans="1:7" ht="13.5" thickBot="1" x14ac:dyDescent="0.25">
      <c r="A1" s="2" t="s">
        <v>0</v>
      </c>
      <c r="B1" s="3" t="s">
        <v>1</v>
      </c>
      <c r="C1" s="3" t="s">
        <v>13</v>
      </c>
      <c r="D1" s="4" t="s">
        <v>16</v>
      </c>
      <c r="E1" s="5" t="s">
        <v>14</v>
      </c>
      <c r="G1" s="17" t="s">
        <v>7</v>
      </c>
    </row>
    <row r="2" spans="1:7" ht="35.1" customHeight="1" thickBot="1" x14ac:dyDescent="0.25">
      <c r="A2" s="75" t="s">
        <v>23</v>
      </c>
      <c r="B2" s="77" t="s">
        <v>28</v>
      </c>
      <c r="C2" s="10" t="s">
        <v>135</v>
      </c>
      <c r="D2" s="32">
        <v>0</v>
      </c>
      <c r="E2" s="27" t="str">
        <f>IF(D2=0,"No training is provided",IF(D2=1,"Basic traning is provided, but not tailored to business operations",IF(D2=2,"Training covers some relevant topics but lacks depth",IF(D2=3,"Comprehensive training covering most relevant topics",IF(D2=4,"Fully comprehensive training, regularly updated to cover all necessary topics")))))</f>
        <v>No training is provided</v>
      </c>
      <c r="G2" s="25" t="s">
        <v>8</v>
      </c>
    </row>
    <row r="3" spans="1:7" ht="35.1" customHeight="1" thickBot="1" x14ac:dyDescent="0.25">
      <c r="A3" s="76"/>
      <c r="B3" s="77"/>
      <c r="C3" s="31" t="s">
        <v>35</v>
      </c>
      <c r="D3" s="32">
        <v>0</v>
      </c>
      <c r="E3" s="27" t="str">
        <f>IF(D3=0,"Never updated",IF(D3=1,"Updated infrequently (e.g., every few years)",IF(D3=2,"Updated annually",IF(D3=3,"Updated semi-annually",IF(D3=4,"Updated continuously or as new threats emerge")))))</f>
        <v>Never updated</v>
      </c>
      <c r="G3" s="16" t="s">
        <v>9</v>
      </c>
    </row>
    <row r="4" spans="1:7" ht="35.1" customHeight="1" thickBot="1" x14ac:dyDescent="0.25">
      <c r="A4" s="78" t="s">
        <v>24</v>
      </c>
      <c r="B4" s="80" t="s">
        <v>29</v>
      </c>
      <c r="C4" s="30" t="s">
        <v>33</v>
      </c>
      <c r="D4" s="32">
        <v>0</v>
      </c>
      <c r="E4" s="27" t="str">
        <f>IF(D4=0,"No role-specific training",IF(D4=1,"Minimal customization for roles",IF(D4=2,"Some customization for key roles",IF(D4=3,"Well-customized for most roles",IF(D4=4,"Fully customized for all roles, with regular updates")))))</f>
        <v>No role-specific training</v>
      </c>
      <c r="G4" s="25" t="s">
        <v>10</v>
      </c>
    </row>
    <row r="5" spans="1:7" ht="35.1" customHeight="1" thickBot="1" x14ac:dyDescent="0.25">
      <c r="A5" s="79"/>
      <c r="B5" s="80"/>
      <c r="C5" s="30" t="s">
        <v>34</v>
      </c>
      <c r="D5" s="32">
        <v>0</v>
      </c>
      <c r="E5" s="27" t="str">
        <f>IF(D5=0,"No assessments conducted",IF(D5=1,"Rare assessments with minimal feedback",IF(D5=2,"Occasional assessments with some feedback",IF(D5=3,"Regular assessments with detailed feedback",IF(D5=4,"Continuous assessments with comprehensive feedback and follow-up")))))</f>
        <v>No assessments conducted</v>
      </c>
      <c r="G5" s="25" t="s">
        <v>11</v>
      </c>
    </row>
    <row r="6" spans="1:7" ht="35.1" customHeight="1" thickBot="1" x14ac:dyDescent="0.25">
      <c r="A6" s="75" t="s">
        <v>25</v>
      </c>
      <c r="B6" s="77" t="s">
        <v>30</v>
      </c>
      <c r="C6" s="10" t="s">
        <v>41</v>
      </c>
      <c r="D6" s="32">
        <v>0</v>
      </c>
      <c r="E6" s="27" t="str">
        <f>IF(D6=0,"No communication of policies",IF(D6=1,"Minimal communication, no compliance checks",IF(D6=2,"Some communication, occasional compliance checks",IF(D6=3,"Regular communication and compliance checks",IF(D6=4,"Thorough communication and rigorous compliance checks")))))</f>
        <v>No communication of policies</v>
      </c>
      <c r="G6" s="25" t="s">
        <v>12</v>
      </c>
    </row>
    <row r="7" spans="1:7" ht="35.1" customHeight="1" thickBot="1" x14ac:dyDescent="0.25">
      <c r="A7" s="81"/>
      <c r="B7" s="77"/>
      <c r="C7" s="10" t="s">
        <v>42</v>
      </c>
      <c r="D7" s="32">
        <v>0</v>
      </c>
      <c r="E7" s="27" t="str">
        <f>IF(D7=0,"Not communicated",IF(D7=1,"Poorly communicated",IF(D7=2,"Communicated but not clearly",IF(D7=3,"Clearly communicated with some follow-up",IF(D7=4,"Clearly communicated with regular follow-up and support")))))</f>
        <v>Not communicated</v>
      </c>
    </row>
    <row r="8" spans="1:7" ht="35.1" customHeight="1" thickBot="1" x14ac:dyDescent="0.25">
      <c r="A8" s="78" t="s">
        <v>26</v>
      </c>
      <c r="B8" s="80" t="s">
        <v>31</v>
      </c>
      <c r="C8" s="19" t="s">
        <v>43</v>
      </c>
      <c r="D8" s="32">
        <v>0</v>
      </c>
      <c r="E8" s="27" t="str">
        <f>IF(D8=0,"Not informed or engaged",IF(D8=1,"Minimal engagement",IF(D8=2,"Some engagement, limited understanding",IF(D8=3,"Actively informed and somewhat engaged",IF(D8=4,"Fully informed and highly engaged")))))</f>
        <v>Not informed or engaged</v>
      </c>
    </row>
    <row r="9" spans="1:7" ht="35.1" customHeight="1" thickBot="1" x14ac:dyDescent="0.25">
      <c r="A9" s="82"/>
      <c r="B9" s="80"/>
      <c r="C9" s="19" t="s">
        <v>44</v>
      </c>
      <c r="D9" s="32">
        <v>0</v>
      </c>
      <c r="E9" s="27" t="str">
        <f>IF(D9=0," No support provided",IF(D9=1,"Minimal support",IF(D9=2,"Some support, inconsistent",IF(D9=3,"Regular support, mostly consistent",IF(D9=4,"Strong, consistent support with proactive resource allocation")))))</f>
        <v xml:space="preserve"> No support provided</v>
      </c>
    </row>
    <row r="10" spans="1:7" ht="35.1" customHeight="1" thickBot="1" x14ac:dyDescent="0.25">
      <c r="A10" s="75" t="s">
        <v>27</v>
      </c>
      <c r="B10" s="77" t="s">
        <v>32</v>
      </c>
      <c r="C10" s="10" t="s">
        <v>45</v>
      </c>
      <c r="D10" s="32">
        <v>0</v>
      </c>
      <c r="E10" s="27" t="str">
        <f>IF(D10=0,"Not communicated",IF(D10=1,"Poorly communicated",IF(D10=2,"Communicated but not reinforced",IF(D10=3,"Communicated and occasionally reinforced",IF(D10=4,"Clearly communicated and consistently reinforced")))))</f>
        <v>Not communicated</v>
      </c>
    </row>
    <row r="11" spans="1:7" ht="35.1" customHeight="1" thickBot="1" x14ac:dyDescent="0.25">
      <c r="A11" s="81"/>
      <c r="B11" s="77"/>
      <c r="C11" s="10" t="s">
        <v>46</v>
      </c>
      <c r="D11" s="32">
        <v>0</v>
      </c>
      <c r="E11" s="27" t="str">
        <f>IF(D11=0,"No training or evaluation",IF(D11=1,"Minimal training, no evaluation",IF(D11=2,"Basic training with occasional evaluation",IF(D11=3,"Regular training and evaluation",IF(D11=4,"Comprehensive training with continuous evaluation and improvement")))))</f>
        <v>No training or evaluation</v>
      </c>
    </row>
  </sheetData>
  <mergeCells count="10">
    <mergeCell ref="A2:A3"/>
    <mergeCell ref="B2:B3"/>
    <mergeCell ref="A4:A5"/>
    <mergeCell ref="B4:B5"/>
    <mergeCell ref="A10:A11"/>
    <mergeCell ref="B10:B11"/>
    <mergeCell ref="A6:A7"/>
    <mergeCell ref="B6:B7"/>
    <mergeCell ref="A8:A9"/>
    <mergeCell ref="B8:B9"/>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0D9B8E9-F4B7-4E0C-85FB-FB3353221D39}">
          <x14:formula1>
            <xm:f>Dropdown!$A$1:$A$5</xm:f>
          </x14:formula1>
          <xm:sqref>D2:D11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417F9-9A48-4240-8E57-D5D7B9E4EE77}">
  <sheetPr>
    <tabColor theme="3" tint="0.499984740745262"/>
  </sheetPr>
  <dimension ref="A1:F7"/>
  <sheetViews>
    <sheetView zoomScale="80" zoomScaleNormal="80" workbookViewId="0">
      <selection activeCell="E2" sqref="E2"/>
    </sheetView>
  </sheetViews>
  <sheetFormatPr defaultRowHeight="15" x14ac:dyDescent="0.25"/>
  <cols>
    <col min="1" max="1" width="38.7109375" style="6" customWidth="1"/>
    <col min="2" max="2" width="35.7109375" style="6" customWidth="1"/>
    <col min="3" max="3" width="115" style="6" bestFit="1" customWidth="1"/>
    <col min="4" max="4" width="30.7109375" style="6" customWidth="1"/>
    <col min="5" max="5" width="60.140625" style="6" bestFit="1" customWidth="1"/>
    <col min="6" max="6" width="20.85546875" style="6" bestFit="1" customWidth="1"/>
    <col min="7" max="16384" width="9.140625" style="6"/>
  </cols>
  <sheetData>
    <row r="1" spans="1:6" ht="15.75" thickBot="1" x14ac:dyDescent="0.3">
      <c r="A1" s="7" t="s">
        <v>2</v>
      </c>
      <c r="B1" s="7" t="s">
        <v>0</v>
      </c>
      <c r="C1" s="7" t="s">
        <v>3</v>
      </c>
      <c r="D1" s="7" t="s">
        <v>4</v>
      </c>
      <c r="E1" s="11" t="s">
        <v>5</v>
      </c>
      <c r="F1" s="12" t="s">
        <v>6</v>
      </c>
    </row>
    <row r="2" spans="1:6" ht="105" customHeight="1" thickBot="1" x14ac:dyDescent="0.3">
      <c r="A2" s="83" t="s">
        <v>17</v>
      </c>
      <c r="B2" s="9" t="s">
        <v>39</v>
      </c>
      <c r="C2" s="8" t="s">
        <v>85</v>
      </c>
      <c r="D2" s="18">
        <f>(SUM(PR.AT!D2:D3)/8)*100</f>
        <v>0</v>
      </c>
      <c r="E2" s="20" t="str">
        <f>IF(D2&lt;37.5,"N: Not Achieved, Requires Attention (0 to 37.5%)",IF(D2&lt;=62.5,"P: Partially Achieved, Basic Requirements Met (&gt;37.5 – 62.5%)",IF(D2&lt;=75,"L: Largely Achieved (&gt;65 to 75%)",IF(D2&gt;75,"F: Fully Achieved (&gt;85%)"))))</f>
        <v>N: Not Achieved, Requires Attention (0 to 37.5%)</v>
      </c>
      <c r="F2" s="13" t="s">
        <v>18</v>
      </c>
    </row>
    <row r="3" spans="1:6" ht="105" customHeight="1" thickBot="1" x14ac:dyDescent="0.3">
      <c r="A3" s="83"/>
      <c r="B3" s="21" t="s">
        <v>40</v>
      </c>
      <c r="C3" s="22" t="s">
        <v>86</v>
      </c>
      <c r="D3" s="23">
        <f>(SUM(PR.AT!D4:D5)/8)*100</f>
        <v>0</v>
      </c>
      <c r="E3" s="20" t="str">
        <f t="shared" ref="E3:E6" si="0">IF(D3&lt;=37.5,"N: Not Achieved, Requires Attention (0 to 37.5%)",IF(D3&lt;=62.5,"P: Partially Achieved, Basic Requirements Met (&gt;37.5 – 62.5%)",IF(D3&lt;=75,"L: Largely Achieved (&gt;65 to 75%)",IF(D3&gt;75,"F: Fully Achieved (&gt;85%)"))))</f>
        <v>N: Not Achieved, Requires Attention (0 to 37.5%)</v>
      </c>
      <c r="F3" s="24" t="s">
        <v>19</v>
      </c>
    </row>
    <row r="4" spans="1:6" ht="105" customHeight="1" thickBot="1" x14ac:dyDescent="0.3">
      <c r="A4" s="83"/>
      <c r="B4" s="14" t="s">
        <v>36</v>
      </c>
      <c r="C4" s="8" t="s">
        <v>87</v>
      </c>
      <c r="D4" s="18">
        <f>(SUM(PR.AT!D6:D7)/8)*100</f>
        <v>0</v>
      </c>
      <c r="E4" s="20" t="str">
        <f t="shared" si="0"/>
        <v>N: Not Achieved, Requires Attention (0 to 37.5%)</v>
      </c>
      <c r="F4" s="15" t="s">
        <v>20</v>
      </c>
    </row>
    <row r="5" spans="1:6" ht="105" customHeight="1" thickBot="1" x14ac:dyDescent="0.3">
      <c r="A5" s="83"/>
      <c r="B5" s="21" t="s">
        <v>37</v>
      </c>
      <c r="C5" s="22" t="s">
        <v>88</v>
      </c>
      <c r="D5" s="23">
        <f>(SUM(PR.AT!D8:D9)/8)*100</f>
        <v>0</v>
      </c>
      <c r="E5" s="20" t="str">
        <f t="shared" si="0"/>
        <v>N: Not Achieved, Requires Attention (0 to 37.5%)</v>
      </c>
      <c r="F5" s="24" t="s">
        <v>21</v>
      </c>
    </row>
    <row r="6" spans="1:6" ht="105" customHeight="1" thickBot="1" x14ac:dyDescent="0.3">
      <c r="A6" s="83"/>
      <c r="B6" s="9" t="s">
        <v>38</v>
      </c>
      <c r="C6" s="8" t="s">
        <v>89</v>
      </c>
      <c r="D6" s="18">
        <f>(SUM(PR.AT!D10:D11)/8)*100</f>
        <v>0</v>
      </c>
      <c r="E6" s="20" t="str">
        <f t="shared" si="0"/>
        <v>N: Not Achieved, Requires Attention (0 to 37.5%)</v>
      </c>
      <c r="F6" s="13" t="s">
        <v>22</v>
      </c>
    </row>
    <row r="7" spans="1:6" ht="15" customHeight="1" x14ac:dyDescent="0.25"/>
  </sheetData>
  <mergeCells count="1">
    <mergeCell ref="A2:A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26CE-574A-47DF-B696-E2195D2B061E}">
  <sheetPr>
    <tabColor theme="9" tint="0.59999389629810485"/>
  </sheetPr>
  <dimension ref="A1:G17"/>
  <sheetViews>
    <sheetView zoomScaleNormal="100" workbookViewId="0">
      <selection activeCell="D15" sqref="D15"/>
    </sheetView>
  </sheetViews>
  <sheetFormatPr defaultRowHeight="12.75" x14ac:dyDescent="0.2"/>
  <cols>
    <col min="1" max="2" width="25.7109375" style="1" customWidth="1"/>
    <col min="3" max="3" width="69" style="1" customWidth="1"/>
    <col min="4" max="4" width="19.42578125" style="1" bestFit="1" customWidth="1"/>
    <col min="5" max="5" width="45.7109375" style="1" customWidth="1"/>
    <col min="6" max="6" width="3.140625" style="1" customWidth="1"/>
    <col min="7" max="7" width="25.42578125" style="1" bestFit="1" customWidth="1"/>
    <col min="8" max="16384" width="9.140625" style="1"/>
  </cols>
  <sheetData>
    <row r="1" spans="1:7" ht="13.5" thickBot="1" x14ac:dyDescent="0.25">
      <c r="A1" s="2" t="s">
        <v>0</v>
      </c>
      <c r="B1" s="3" t="s">
        <v>1</v>
      </c>
      <c r="C1" s="3" t="s">
        <v>13</v>
      </c>
      <c r="D1" s="4" t="s">
        <v>16</v>
      </c>
      <c r="E1" s="5" t="s">
        <v>14</v>
      </c>
      <c r="G1" s="17" t="s">
        <v>7</v>
      </c>
    </row>
    <row r="2" spans="1:7" ht="30" customHeight="1" thickBot="1" x14ac:dyDescent="0.25">
      <c r="A2" s="75" t="s">
        <v>54</v>
      </c>
      <c r="B2" s="77" t="s">
        <v>58</v>
      </c>
      <c r="C2" s="10" t="s">
        <v>136</v>
      </c>
      <c r="D2" s="32">
        <v>0</v>
      </c>
      <c r="E2" s="27" t="str">
        <f>IF(D2=0,"No policy exists",IF(D2=1,"A draft policy exists but is incomplete",IF(D2=2,"A basic policy is developed but lacks detail",IF(D2=3,"A comprehensive policy is developed but not fully integrated",IF(D2=4,"A comprehensive policy is fully developed and integrated")))))</f>
        <v>No policy exists</v>
      </c>
      <c r="G2" s="25" t="s">
        <v>8</v>
      </c>
    </row>
    <row r="3" spans="1:7" ht="30" customHeight="1" thickBot="1" x14ac:dyDescent="0.25">
      <c r="A3" s="76"/>
      <c r="B3" s="77"/>
      <c r="C3" s="31" t="s">
        <v>90</v>
      </c>
      <c r="D3" s="32">
        <v>0</v>
      </c>
      <c r="E3" s="27" t="str">
        <f>IF(D3=0,"No communication of the policy.",IF(D3=1,"Policy is communicated to a limited audience",IF(D3=2,"Policy is communicated through informal channels",IF(D3=3,"Policy is communicated through formal channels but not regularly",IF(D3=4,"Policy is communicated regularly through formal channels")))))</f>
        <v>No communication of the policy.</v>
      </c>
      <c r="G3" s="16" t="s">
        <v>9</v>
      </c>
    </row>
    <row r="4" spans="1:7" ht="30" customHeight="1" thickBot="1" x14ac:dyDescent="0.25">
      <c r="A4" s="76"/>
      <c r="B4" s="77"/>
      <c r="C4" s="10" t="s">
        <v>62</v>
      </c>
      <c r="D4" s="32">
        <v>0</v>
      </c>
      <c r="E4" s="27" t="str">
        <f>IF(D4=0,"No updates or reviews",IF(D4=1,"Updates and reviews are sporadic",IF(D4=2,"Updates and reviews occur annually",IF(D4=3,"Updates and reviews occur semi-annually",IF(D4=4,"Updates and reviews occur quarterly or more frequently")))))</f>
        <v>No updates or reviews</v>
      </c>
      <c r="G4" s="25" t="s">
        <v>10</v>
      </c>
    </row>
    <row r="5" spans="1:7" ht="30" customHeight="1" thickBot="1" x14ac:dyDescent="0.25">
      <c r="A5" s="81"/>
      <c r="B5" s="77"/>
      <c r="C5" s="10" t="s">
        <v>63</v>
      </c>
      <c r="D5" s="32">
        <v>0</v>
      </c>
      <c r="E5" s="27" t="str">
        <f>IF(D5=0,"No feedback process exists",IF(D5=1,"Informal feedback is occasionally gathered",IF(D5=2,"A formal feedback process exists but is rarely used",IF(D5=3,"A formal feedback process is used occasionally",IF(D5=4,"A formal feedback process is regularly used and encouraged")))))</f>
        <v>No feedback process exists</v>
      </c>
      <c r="G5" s="25" t="s">
        <v>11</v>
      </c>
    </row>
    <row r="6" spans="1:7" ht="30" customHeight="1" thickBot="1" x14ac:dyDescent="0.25">
      <c r="A6" s="78" t="s">
        <v>55</v>
      </c>
      <c r="B6" s="80" t="s">
        <v>60</v>
      </c>
      <c r="C6" s="30" t="s">
        <v>64</v>
      </c>
      <c r="D6" s="32">
        <v>0</v>
      </c>
      <c r="E6" s="27" t="str">
        <f>IF(D6=0,"No roles defined",IF(D6=1,"Roles are vaguely defined",IF(D6=2,"Basic roles are defined but lack clarity",IF(D6=3,"Roles are clearly defined but not fully communicated",IF(D6=4,"Roles are clearly defined and fully communicated")))))</f>
        <v>No roles defined</v>
      </c>
      <c r="G6" s="25" t="s">
        <v>12</v>
      </c>
    </row>
    <row r="7" spans="1:7" ht="30" customHeight="1" thickBot="1" x14ac:dyDescent="0.25">
      <c r="A7" s="79"/>
      <c r="B7" s="80"/>
      <c r="C7" s="30" t="s">
        <v>65</v>
      </c>
      <c r="D7" s="32">
        <v>0</v>
      </c>
      <c r="E7" s="27" t="str">
        <f>IF(D7=0,"No communication of roles",IF(D7=1,"Roles communicated to a limited audience",IF(D7=2,"Roles communicated informally",IF(D7=3,"Roles communicated formally but not regularly",IF(D7=4,"Roles communicated regularly and formally")))))</f>
        <v>No communication of roles</v>
      </c>
    </row>
    <row r="8" spans="1:7" ht="30" customHeight="1" thickBot="1" x14ac:dyDescent="0.25">
      <c r="A8" s="79"/>
      <c r="B8" s="80"/>
      <c r="C8" s="19" t="s">
        <v>66</v>
      </c>
      <c r="D8" s="32">
        <v>0</v>
      </c>
      <c r="E8" s="27" t="str">
        <f>IF(D8=0,"No designated person",IF(D8=1,"A person is informally responsible",IF(D8=2,"A person is designated but lacks authority",IF(D8=3,"A person is designated with some authority",IF(D8=4,"A person is fully designated and empowered")))))</f>
        <v>No designated person</v>
      </c>
    </row>
    <row r="9" spans="1:7" ht="30" customHeight="1" thickBot="1" x14ac:dyDescent="0.25">
      <c r="A9" s="82"/>
      <c r="B9" s="80"/>
      <c r="C9" s="19" t="s">
        <v>67</v>
      </c>
      <c r="D9" s="32">
        <v>0</v>
      </c>
      <c r="E9" s="27" t="str">
        <f>IF(D9=0,"No alignment",IF(D9=1,"Minimal alignment",IF(D9=2,"Some alignment but not strategic",IF(D9=3,"Good alignment with some strategic elements",IF(D9=4,"Full alignment with strategic integration")))))</f>
        <v>No alignment</v>
      </c>
    </row>
    <row r="10" spans="1:7" ht="30" customHeight="1" thickBot="1" x14ac:dyDescent="0.25">
      <c r="A10" s="75" t="s">
        <v>56</v>
      </c>
      <c r="B10" s="77" t="s">
        <v>59</v>
      </c>
      <c r="C10" s="10" t="s">
        <v>68</v>
      </c>
      <c r="D10" s="32">
        <v>0</v>
      </c>
      <c r="E10" s="27" t="str">
        <f>IF(D10=0,"No identification of requirements",IF(D10=1,"Minimal identification",IF(D10=2,"Basic identification but incomplete",IF(D10=3,"Comprehensive identification but not fully documented",IF(D10=4,"Fully comprehensive and documented identification")))))</f>
        <v>No identification of requirements</v>
      </c>
    </row>
    <row r="11" spans="1:7" ht="30" customHeight="1" thickBot="1" x14ac:dyDescent="0.25">
      <c r="A11" s="76"/>
      <c r="B11" s="77"/>
      <c r="C11" s="10" t="s">
        <v>69</v>
      </c>
      <c r="D11" s="32">
        <v>0</v>
      </c>
      <c r="E11" s="27" t="str">
        <f>IF(D11=0,"No compliance monitoring.",IF(D11=1,"Minimal compliance monitoring",IF(D11=2,"Basic compliance monitoring",IF(D11=3,"Effective compliance monitoring but not continuous",IF(D11=4,"Continuous and effective compliance monitoring")))))</f>
        <v>No compliance monitoring.</v>
      </c>
    </row>
    <row r="12" spans="1:7" ht="30" customHeight="1" thickBot="1" x14ac:dyDescent="0.25">
      <c r="A12" s="76"/>
      <c r="B12" s="77"/>
      <c r="C12" s="10" t="s">
        <v>70</v>
      </c>
      <c r="D12" s="32">
        <v>0</v>
      </c>
      <c r="E12" s="27" t="str">
        <f>IF(D12=0,"No training provided",IF(D12=1,"Minimal training provided",IF(D12=2,"Basic training provided",IF(D12=3,"Comprehensive training provided but not regularly",IF(D12=4,"Regular and comprehensive training provided")))))</f>
        <v>No training provided</v>
      </c>
    </row>
    <row r="13" spans="1:7" ht="30" customHeight="1" thickBot="1" x14ac:dyDescent="0.25">
      <c r="A13" s="81"/>
      <c r="B13" s="77"/>
      <c r="C13" s="10" t="s">
        <v>71</v>
      </c>
      <c r="D13" s="32">
        <v>0</v>
      </c>
      <c r="E13" s="27" t="str">
        <f>IF(D13=0,"No process in place",IF(D13=1,"Minimal process in place",IF(D13=2,"Basic process in place",IF(D13=3,"Effective process but not regularly updated",IF(D13=4,"Regularly updated and effective process")))))</f>
        <v>No process in place</v>
      </c>
    </row>
    <row r="14" spans="1:7" ht="30" customHeight="1" thickBot="1" x14ac:dyDescent="0.25">
      <c r="A14" s="78" t="s">
        <v>57</v>
      </c>
      <c r="B14" s="80" t="s">
        <v>61</v>
      </c>
      <c r="C14" s="19" t="s">
        <v>72</v>
      </c>
      <c r="D14" s="32">
        <v>0</v>
      </c>
      <c r="E14" s="27" t="str">
        <f>IF(D14=0,"No risk identification or assessment",IF(D14=1,"Minimal risk identification and assessment",IF(D14=2,"Basic risk identification and assessment",IF(D14=3,"Effective risk identification and assessment but not comprehensive",IF(D14=4,"Comprehensive and effective risk identification and assessment")))))</f>
        <v>No risk identification or assessment</v>
      </c>
    </row>
    <row r="15" spans="1:7" ht="30" customHeight="1" thickBot="1" x14ac:dyDescent="0.25">
      <c r="A15" s="79"/>
      <c r="B15" s="80"/>
      <c r="C15" s="19" t="s">
        <v>73</v>
      </c>
      <c r="D15" s="32">
        <v>0</v>
      </c>
      <c r="E15" s="27" t="str">
        <f>IF(D15=0,"No processes in place",IF(D15=1,"Minimal processes in place",IF(D15=2,"Basic processes in place",IF(D15=3,"Effective processes but not comprehensive",IF(D15=4,"Comprehensive and effective processes")))))</f>
        <v>No processes in place</v>
      </c>
    </row>
    <row r="16" spans="1:7" ht="30" customHeight="1" thickBot="1" x14ac:dyDescent="0.25">
      <c r="A16" s="79"/>
      <c r="B16" s="80"/>
      <c r="C16" s="19" t="s">
        <v>74</v>
      </c>
      <c r="D16" s="32">
        <v>0</v>
      </c>
      <c r="E16" s="27" t="str">
        <f>IF(D16=0,"No addressing of phishing risk",IF(D16=1,"Minimal addressing of phishing risk",IF(D16=2,"Basic addressing of phishing risk",IF(D16=3,"Effective addressing of phishing risk but not comprehensive",IF(D16=4,"Comprehensive and effective addressing of phishing risk")))))</f>
        <v>No addressing of phishing risk</v>
      </c>
    </row>
    <row r="17" spans="1:5" ht="30" customHeight="1" thickBot="1" x14ac:dyDescent="0.25">
      <c r="A17" s="82"/>
      <c r="B17" s="80"/>
      <c r="C17" s="19" t="s">
        <v>75</v>
      </c>
      <c r="D17" s="32">
        <v>0</v>
      </c>
      <c r="E17" s="27" t="str">
        <f>IF(D17=0,"No audits or assessments conducted",IF(D17=1,"Minimal audits or assessments conducted",IF(D17=2,"Basic audits or assessments conducted",IF(D17=3,"Regular audits or assessments conducted but not fully utilized",IF(D17=4,"Regular and fully utilized audits or assessments")))))</f>
        <v>No audits or assessments conducted</v>
      </c>
    </row>
  </sheetData>
  <mergeCells count="8">
    <mergeCell ref="A14:A17"/>
    <mergeCell ref="B14:B17"/>
    <mergeCell ref="A2:A5"/>
    <mergeCell ref="B2:B5"/>
    <mergeCell ref="A6:A9"/>
    <mergeCell ref="B6:B9"/>
    <mergeCell ref="A10:A13"/>
    <mergeCell ref="B10:B1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02AC1D-BB95-4DE6-8E7E-D2F125C78115}">
          <x14:formula1>
            <xm:f>Dropdown!$A$1:$A$5</xm:f>
          </x14:formula1>
          <xm:sqref>D2:D17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8597-BE20-4AEB-A698-4E592997745D}">
  <sheetPr>
    <tabColor theme="3" tint="0.499984740745262"/>
  </sheetPr>
  <dimension ref="A1:F6"/>
  <sheetViews>
    <sheetView zoomScale="80" zoomScaleNormal="80" workbookViewId="0">
      <selection activeCell="E2" sqref="E2"/>
    </sheetView>
  </sheetViews>
  <sheetFormatPr defaultRowHeight="15" x14ac:dyDescent="0.25"/>
  <cols>
    <col min="1" max="1" width="38.7109375" style="6" customWidth="1"/>
    <col min="2" max="2" width="35.7109375" style="6" customWidth="1"/>
    <col min="3" max="3" width="115" style="6" bestFit="1" customWidth="1"/>
    <col min="4" max="4" width="30.7109375" style="6" customWidth="1"/>
    <col min="5" max="5" width="67.42578125" style="6" customWidth="1"/>
    <col min="6" max="6" width="20.85546875" style="6" bestFit="1" customWidth="1"/>
    <col min="7" max="16384" width="9.140625" style="6"/>
  </cols>
  <sheetData>
    <row r="1" spans="1:6" ht="15.75" thickBot="1" x14ac:dyDescent="0.3">
      <c r="A1" s="7" t="s">
        <v>2</v>
      </c>
      <c r="B1" s="7" t="s">
        <v>0</v>
      </c>
      <c r="C1" s="7" t="s">
        <v>3</v>
      </c>
      <c r="D1" s="7" t="s">
        <v>4</v>
      </c>
      <c r="E1" s="11" t="s">
        <v>5</v>
      </c>
      <c r="F1" s="12" t="s">
        <v>6</v>
      </c>
    </row>
    <row r="2" spans="1:6" ht="105" customHeight="1" thickBot="1" x14ac:dyDescent="0.3">
      <c r="A2" s="84" t="s">
        <v>80</v>
      </c>
      <c r="B2" s="9" t="s">
        <v>47</v>
      </c>
      <c r="C2" s="8" t="s">
        <v>81</v>
      </c>
      <c r="D2" s="18">
        <f>(SUM(ID.GV!D2:D5)/16)*100</f>
        <v>0</v>
      </c>
      <c r="E2" s="20" t="str">
        <f>IF(D2&lt;50,"N: Not Achieved, Requires Attention (0 to 50%)",IF(D2&gt;=50,"P: Partially Achieved, Basic Requirements Met (&gt;50 – 68%)",IF(D2&gt;68,"L: Largely Achieved (&gt;68 – 75%)",IF(D2&gt;75,"F: Fully Achieved (&gt;75%)"))))</f>
        <v>N: Not Achieved, Requires Attention (0 to 50%)</v>
      </c>
      <c r="F2" s="15" t="s">
        <v>76</v>
      </c>
    </row>
    <row r="3" spans="1:6" ht="105" customHeight="1" thickBot="1" x14ac:dyDescent="0.3">
      <c r="A3" s="84"/>
      <c r="B3" s="21" t="s">
        <v>48</v>
      </c>
      <c r="C3" s="22" t="s">
        <v>82</v>
      </c>
      <c r="D3" s="23">
        <f>(SUM(ID.GV!D6:D9)/16)*100</f>
        <v>0</v>
      </c>
      <c r="E3" s="20" t="str">
        <f t="shared" ref="E3:E5" si="0">IF(D3&lt;50,"N: Not Achieved, Requires Attention (0 to 50%)",IF(D3&gt;=50,"P: Partially Achieved, Basic Requirements Met (&gt;50 – 68%)",IF(D3&gt;68,"L: Largely Achieved (&gt;68 – 75%)",IF(D3&gt;75,"F: Fully Achieved (&gt;75%)"))))</f>
        <v>N: Not Achieved, Requires Attention (0 to 50%)</v>
      </c>
      <c r="F3" s="24" t="s">
        <v>77</v>
      </c>
    </row>
    <row r="4" spans="1:6" ht="105" customHeight="1" thickBot="1" x14ac:dyDescent="0.3">
      <c r="A4" s="84"/>
      <c r="B4" s="14" t="s">
        <v>49</v>
      </c>
      <c r="C4" s="8" t="s">
        <v>83</v>
      </c>
      <c r="D4" s="18">
        <f>(SUM(ID.GV!D10:D13)/16)*100</f>
        <v>0</v>
      </c>
      <c r="E4" s="20" t="str">
        <f t="shared" si="0"/>
        <v>N: Not Achieved, Requires Attention (0 to 50%)</v>
      </c>
      <c r="F4" s="15" t="s">
        <v>78</v>
      </c>
    </row>
    <row r="5" spans="1:6" ht="105" customHeight="1" thickBot="1" x14ac:dyDescent="0.3">
      <c r="A5" s="84"/>
      <c r="B5" s="21" t="s">
        <v>50</v>
      </c>
      <c r="C5" s="22" t="s">
        <v>84</v>
      </c>
      <c r="D5" s="23">
        <f>(SUM(ID.GV!D14:D17)/16)*100</f>
        <v>0</v>
      </c>
      <c r="E5" s="20" t="str">
        <f t="shared" si="0"/>
        <v>N: Not Achieved, Requires Attention (0 to 50%)</v>
      </c>
      <c r="F5" s="24" t="s">
        <v>79</v>
      </c>
    </row>
    <row r="6" spans="1:6" ht="15" customHeight="1" x14ac:dyDescent="0.25"/>
  </sheetData>
  <mergeCells count="1">
    <mergeCell ref="A2:A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83F93-279E-4ED0-9940-ECB994EE3184}">
  <sheetPr>
    <tabColor theme="3" tint="0.499984740745262"/>
  </sheetPr>
  <dimension ref="A1:C16"/>
  <sheetViews>
    <sheetView tabSelected="1" zoomScale="80" zoomScaleNormal="80" workbookViewId="0">
      <selection activeCell="E14" sqref="E14"/>
    </sheetView>
  </sheetViews>
  <sheetFormatPr defaultRowHeight="15" x14ac:dyDescent="0.25"/>
  <cols>
    <col min="1" max="1" width="147.5703125" style="6" customWidth="1"/>
    <col min="2" max="2" width="30.7109375" style="6" customWidth="1"/>
    <col min="3" max="3" width="61.7109375" style="6" bestFit="1" customWidth="1"/>
    <col min="4" max="16384" width="9.140625" style="6"/>
  </cols>
  <sheetData>
    <row r="1" spans="1:3" ht="34.5" thickBot="1" x14ac:dyDescent="0.55000000000000004">
      <c r="A1" s="91" t="s">
        <v>53</v>
      </c>
      <c r="B1" s="92"/>
      <c r="C1" s="93"/>
    </row>
    <row r="2" spans="1:3" ht="15.75" thickBot="1" x14ac:dyDescent="0.3">
      <c r="A2" s="85" t="s">
        <v>52</v>
      </c>
      <c r="B2" s="86"/>
      <c r="C2" s="87"/>
    </row>
    <row r="3" spans="1:3" ht="15.75" thickBot="1" x14ac:dyDescent="0.3">
      <c r="A3" s="7" t="s">
        <v>0</v>
      </c>
      <c r="B3" s="7" t="s">
        <v>4</v>
      </c>
      <c r="C3" s="7" t="s">
        <v>5</v>
      </c>
    </row>
    <row r="4" spans="1:3" ht="35.1" customHeight="1" thickBot="1" x14ac:dyDescent="0.3">
      <c r="A4" s="9" t="s">
        <v>39</v>
      </c>
      <c r="B4" s="18">
        <f>'PR.AT SUMMARY'!D2</f>
        <v>0</v>
      </c>
      <c r="C4" s="46" t="str">
        <f>'PR.AT SUMMARY'!E2</f>
        <v>N: Not Achieved, Requires Attention (0 to 37.5%)</v>
      </c>
    </row>
    <row r="5" spans="1:3" ht="35.1" customHeight="1" thickBot="1" x14ac:dyDescent="0.3">
      <c r="A5" s="21" t="s">
        <v>40</v>
      </c>
      <c r="B5" s="48">
        <f>'PR.AT SUMMARY'!D3</f>
        <v>0</v>
      </c>
      <c r="C5" s="47" t="str">
        <f>'PR.AT SUMMARY'!E3</f>
        <v>N: Not Achieved, Requires Attention (0 to 37.5%)</v>
      </c>
    </row>
    <row r="6" spans="1:3" ht="35.1" customHeight="1" thickBot="1" x14ac:dyDescent="0.3">
      <c r="A6" s="14" t="s">
        <v>36</v>
      </c>
      <c r="B6" s="18">
        <f>'PR.AT SUMMARY'!D4</f>
        <v>0</v>
      </c>
      <c r="C6" s="46" t="str">
        <f>'PR.AT SUMMARY'!E4</f>
        <v>N: Not Achieved, Requires Attention (0 to 37.5%)</v>
      </c>
    </row>
    <row r="7" spans="1:3" ht="35.1" customHeight="1" thickBot="1" x14ac:dyDescent="0.3">
      <c r="A7" s="21" t="s">
        <v>37</v>
      </c>
      <c r="B7" s="48">
        <f>'PR.AT SUMMARY'!D5</f>
        <v>0</v>
      </c>
      <c r="C7" s="47" t="str">
        <f>'PR.AT SUMMARY'!E5</f>
        <v>N: Not Achieved, Requires Attention (0 to 37.5%)</v>
      </c>
    </row>
    <row r="8" spans="1:3" ht="35.1" customHeight="1" thickBot="1" x14ac:dyDescent="0.3">
      <c r="A8" s="9" t="s">
        <v>38</v>
      </c>
      <c r="B8" s="18">
        <f>'PR.AT SUMMARY'!D6</f>
        <v>0</v>
      </c>
      <c r="C8" s="46" t="str">
        <f>'PR.AT SUMMARY'!E6</f>
        <v>N: Not Achieved, Requires Attention (0 to 37.5%)</v>
      </c>
    </row>
    <row r="9" spans="1:3" ht="15" customHeight="1" thickBot="1" x14ac:dyDescent="0.3">
      <c r="A9" s="88" t="s">
        <v>51</v>
      </c>
      <c r="B9" s="89"/>
      <c r="C9" s="90"/>
    </row>
    <row r="10" spans="1:3" ht="15.75" thickBot="1" x14ac:dyDescent="0.3">
      <c r="A10" s="7" t="s">
        <v>0</v>
      </c>
      <c r="B10" s="7" t="s">
        <v>4</v>
      </c>
      <c r="C10" s="7" t="s">
        <v>5</v>
      </c>
    </row>
    <row r="11" spans="1:3" ht="35.1" customHeight="1" thickBot="1" x14ac:dyDescent="0.3">
      <c r="A11" s="9" t="s">
        <v>47</v>
      </c>
      <c r="B11" s="18">
        <f>'ID.GV SUMMARY'!D2</f>
        <v>0</v>
      </c>
      <c r="C11" s="28" t="str">
        <f>'ID.GV SUMMARY'!E2</f>
        <v>N: Not Achieved, Requires Attention (0 to 50%)</v>
      </c>
    </row>
    <row r="12" spans="1:3" ht="35.1" customHeight="1" thickBot="1" x14ac:dyDescent="0.3">
      <c r="A12" s="21" t="s">
        <v>48</v>
      </c>
      <c r="B12" s="48">
        <f>'ID.GV SUMMARY'!D3</f>
        <v>0</v>
      </c>
      <c r="C12" s="28" t="str">
        <f>'ID.GV SUMMARY'!E3</f>
        <v>N: Not Achieved, Requires Attention (0 to 50%)</v>
      </c>
    </row>
    <row r="13" spans="1:3" ht="35.1" customHeight="1" thickBot="1" x14ac:dyDescent="0.3">
      <c r="A13" s="14" t="s">
        <v>49</v>
      </c>
      <c r="B13" s="18">
        <f>'ID.GV SUMMARY'!D4</f>
        <v>0</v>
      </c>
      <c r="C13" s="28" t="str">
        <f>'ID.GV SUMMARY'!E4</f>
        <v>N: Not Achieved, Requires Attention (0 to 50%)</v>
      </c>
    </row>
    <row r="14" spans="1:3" ht="35.1" customHeight="1" thickBot="1" x14ac:dyDescent="0.3">
      <c r="A14" s="21" t="s">
        <v>50</v>
      </c>
      <c r="B14" s="48">
        <f>'ID.GV SUMMARY'!D5</f>
        <v>0</v>
      </c>
      <c r="C14" s="28" t="str">
        <f>'ID.GV SUMMARY'!E5</f>
        <v>N: Not Achieved, Requires Attention (0 to 50%)</v>
      </c>
    </row>
    <row r="16" spans="1:3" x14ac:dyDescent="0.25">
      <c r="A16" s="49"/>
      <c r="B16" s="50"/>
      <c r="C16" s="51"/>
    </row>
  </sheetData>
  <mergeCells count="3">
    <mergeCell ref="A2:C2"/>
    <mergeCell ref="A9:C9"/>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51C2-303F-4C92-92AA-D5D07FFDDBDC}">
  <sheetPr>
    <tabColor rgb="FFC00000"/>
  </sheetPr>
  <dimension ref="A1:C5"/>
  <sheetViews>
    <sheetView workbookViewId="0">
      <selection activeCell="C1" sqref="C1"/>
    </sheetView>
  </sheetViews>
  <sheetFormatPr defaultRowHeight="15" x14ac:dyDescent="0.25"/>
  <cols>
    <col min="3" max="3" width="53.140625" bestFit="1" customWidth="1"/>
  </cols>
  <sheetData>
    <row r="1" spans="1:3" x14ac:dyDescent="0.25">
      <c r="A1">
        <v>0</v>
      </c>
      <c r="C1" s="26" t="s">
        <v>15</v>
      </c>
    </row>
    <row r="2" spans="1:3" x14ac:dyDescent="0.25">
      <c r="A2">
        <v>1</v>
      </c>
    </row>
    <row r="3" spans="1:3" x14ac:dyDescent="0.25">
      <c r="A3">
        <v>2</v>
      </c>
    </row>
    <row r="4" spans="1:3" x14ac:dyDescent="0.25">
      <c r="A4">
        <v>3</v>
      </c>
    </row>
    <row r="5" spans="1:3" x14ac:dyDescent="0.25">
      <c r="A5">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E4B911-6208-4555-A78B-FD72859DB3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ORGANIZATIONAL PROFILE</vt:lpstr>
      <vt:lpstr>PR.AT</vt:lpstr>
      <vt:lpstr>PR.AT SUMMARY</vt:lpstr>
      <vt:lpstr>ID.GV</vt:lpstr>
      <vt:lpstr>ID.GV SUMMARY</vt:lpstr>
      <vt:lpstr>PROFILE SUMMARY</vt:lpstr>
      <vt:lpstr>Dropdown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Bronson</dc:creator>
  <cp:lastModifiedBy>Sam Bronson</cp:lastModifiedBy>
  <dcterms:created xsi:type="dcterms:W3CDTF">2024-11-20T23:16:23Z</dcterms:created>
  <dcterms:modified xsi:type="dcterms:W3CDTF">2024-12-05T23:34:41Z</dcterms:modified>
</cp:coreProperties>
</file>